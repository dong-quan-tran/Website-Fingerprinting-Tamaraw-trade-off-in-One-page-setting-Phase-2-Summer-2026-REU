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3ebaa025f940af/Documents/Cybersecurity research/Classic CSE Dept REU Summer 2026/"/>
    </mc:Choice>
  </mc:AlternateContent>
  <xr:revisionPtr revIDLastSave="428" documentId="8_{4565BCB7-AC01-4755-9753-BC5DC2887D4E}" xr6:coauthVersionLast="47" xr6:coauthVersionMax="47" xr10:uidLastSave="{4D28A121-3119-49ED-A4F6-EAA493388D9F}"/>
  <bookViews>
    <workbookView xWindow="11438" yWindow="0" windowWidth="11684" windowHeight="13763" xr2:uid="{EB14EF6C-7336-44C5-8011-0DB1D34203DB}"/>
  </bookViews>
  <sheets>
    <sheet name="onepage_all_schedules" sheetId="2" r:id="rId1"/>
    <sheet name="Sheet1" sheetId="1" r:id="rId2"/>
  </sheets>
  <definedNames>
    <definedName name="ExternalData_1" localSheetId="0" hidden="1">onepage_all_schedules!$A$1:$H$144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40" i="2" l="1"/>
  <c r="I128" i="2"/>
  <c r="I116" i="2"/>
  <c r="I104" i="2"/>
  <c r="I92" i="2"/>
  <c r="I68" i="2"/>
  <c r="I80" i="2"/>
  <c r="I81" i="2"/>
  <c r="I56" i="2"/>
  <c r="I44" i="2"/>
  <c r="I32" i="2"/>
  <c r="I20" i="2"/>
  <c r="I21" i="2"/>
  <c r="I8" i="2"/>
  <c r="I2" i="2"/>
  <c r="I3" i="2"/>
  <c r="I4" i="2"/>
  <c r="I5" i="2"/>
  <c r="I6" i="2"/>
  <c r="I9" i="2"/>
  <c r="I10" i="2"/>
  <c r="I11" i="2"/>
  <c r="I12" i="2"/>
  <c r="I14" i="2"/>
  <c r="I15" i="2"/>
  <c r="I16" i="2"/>
  <c r="I17" i="2"/>
  <c r="I18" i="2"/>
  <c r="I22" i="2"/>
  <c r="I23" i="2"/>
  <c r="I24" i="2"/>
  <c r="I26" i="2"/>
  <c r="I27" i="2"/>
  <c r="I28" i="2"/>
  <c r="I29" i="2"/>
  <c r="I30" i="2"/>
  <c r="I33" i="2"/>
  <c r="I34" i="2"/>
  <c r="I35" i="2"/>
  <c r="I36" i="2"/>
  <c r="I48" i="2"/>
  <c r="I38" i="2"/>
  <c r="I39" i="2"/>
  <c r="I40" i="2"/>
  <c r="I41" i="2"/>
  <c r="I42" i="2"/>
  <c r="I45" i="2"/>
  <c r="I46" i="2"/>
  <c r="I47" i="2"/>
  <c r="I50" i="2"/>
  <c r="I51" i="2"/>
  <c r="I52" i="2"/>
  <c r="I53" i="2"/>
  <c r="I54" i="2"/>
  <c r="I57" i="2"/>
  <c r="I58" i="2"/>
  <c r="I59" i="2"/>
  <c r="I60" i="2"/>
  <c r="I62" i="2"/>
  <c r="I63" i="2"/>
  <c r="I64" i="2"/>
  <c r="I65" i="2"/>
  <c r="I66" i="2"/>
  <c r="I69" i="2"/>
  <c r="I70" i="2"/>
  <c r="I71" i="2"/>
  <c r="I72" i="2"/>
  <c r="I84" i="2"/>
  <c r="I74" i="2"/>
  <c r="I75" i="2"/>
  <c r="I76" i="2"/>
  <c r="I77" i="2"/>
  <c r="I78" i="2"/>
  <c r="I82" i="2"/>
  <c r="I83" i="2"/>
  <c r="I86" i="2"/>
  <c r="I87" i="2"/>
  <c r="I88" i="2"/>
  <c r="I89" i="2"/>
  <c r="I90" i="2"/>
  <c r="I93" i="2"/>
  <c r="I94" i="2"/>
  <c r="I95" i="2"/>
  <c r="I96" i="2"/>
  <c r="I98" i="2"/>
  <c r="I99" i="2"/>
  <c r="I100" i="2"/>
  <c r="I101" i="2"/>
  <c r="I102" i="2"/>
  <c r="I105" i="2"/>
  <c r="I106" i="2"/>
  <c r="I107" i="2"/>
  <c r="I108" i="2"/>
  <c r="I120" i="2"/>
  <c r="I110" i="2"/>
  <c r="I111" i="2"/>
  <c r="I112" i="2"/>
  <c r="I113" i="2"/>
  <c r="I114" i="2"/>
  <c r="I117" i="2"/>
  <c r="I118" i="2"/>
  <c r="I119" i="2"/>
  <c r="I122" i="2"/>
  <c r="I123" i="2"/>
  <c r="I124" i="2"/>
  <c r="I125" i="2"/>
  <c r="I126" i="2"/>
  <c r="I129" i="2"/>
  <c r="I130" i="2"/>
  <c r="I131" i="2"/>
  <c r="I132" i="2"/>
  <c r="I134" i="2"/>
  <c r="I135" i="2"/>
  <c r="I136" i="2"/>
  <c r="I137" i="2"/>
  <c r="I138" i="2"/>
  <c r="I141" i="2"/>
  <c r="I142" i="2"/>
  <c r="I143" i="2"/>
  <c r="I14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8B6316-6C66-4AFA-BEE0-CAC813A89CCB}" keepAlive="1" name="Query - onepage_all_schedules" description="Connection to the 'onepage_all_schedules' query in the workbook." type="5" refreshedVersion="8" background="1" saveData="1">
    <dbPr connection="Provider=Microsoft.Mashup.OleDb.1;Data Source=$Workbook$;Location=onepage_all_schedules;Extended Properties=&quot;&quot;" command="SELECT * FROM [onepage_all_schedules]"/>
  </connection>
</connections>
</file>

<file path=xl/sharedStrings.xml><?xml version="1.0" encoding="utf-8"?>
<sst xmlns="http://schemas.openxmlformats.org/spreadsheetml/2006/main" count="290" uniqueCount="78">
  <si>
    <t>tag</t>
  </si>
  <si>
    <t>model</t>
  </si>
  <si>
    <t>Accuracy</t>
  </si>
  <si>
    <t>Precision</t>
  </si>
  <si>
    <t>Recall</t>
  </si>
  <si>
    <t>F1-score</t>
  </si>
  <si>
    <t>TPR</t>
  </si>
  <si>
    <t>FPR</t>
  </si>
  <si>
    <t>legacyPadl100_pin0p015_pout0p045_L1_G1</t>
  </si>
  <si>
    <t>DF</t>
  </si>
  <si>
    <t>TikTok</t>
  </si>
  <si>
    <t>VarCNN</t>
  </si>
  <si>
    <t>RF</t>
  </si>
  <si>
    <t>legacyPadl100_pin0p015_pout0p045_L1_G3</t>
  </si>
  <si>
    <t>legacyPadl100_pin0p015_pout0p045_L1_G5</t>
  </si>
  <si>
    <t>legacyPadl100_pin0p015_pout0p045_L1_G7</t>
  </si>
  <si>
    <t>legacyPadl100_pin0p015_pout0p045_L1_G9</t>
  </si>
  <si>
    <t>legacyPadl100_pin0p015_pout0p045_L3_G1</t>
  </si>
  <si>
    <t>legacyPadl100_pin0p015_pout0p045_L5_G1</t>
  </si>
  <si>
    <t>legacyPadl100_pin0p015_pout0p045_L7_G1</t>
  </si>
  <si>
    <t>legacyPadl100_pin0p015_pout0p045_L9_G1</t>
  </si>
  <si>
    <t>legacyPadl100_pin0p025_pout0p075_L1_G1</t>
  </si>
  <si>
    <t>legacyPadl100_pin0p025_pout0p075_L1_G3</t>
  </si>
  <si>
    <t>legacyPadl100_pin0p025_pout0p075_L1_G5</t>
  </si>
  <si>
    <t>legacyPadl100_pin0p025_pout0p075_L1_G7</t>
  </si>
  <si>
    <t>legacyPadl100_pin0p025_pout0p075_L1_G9</t>
  </si>
  <si>
    <t>legacyPadl100_pin0p025_pout0p075_L3_G1</t>
  </si>
  <si>
    <t>legacyPadl100_pin0p025_pout0p075_L5_G1</t>
  </si>
  <si>
    <t>legacyPadl100_pin0p025_pout0p075_L7_G1</t>
  </si>
  <si>
    <t>legacyPadl100_pin0p025_pout0p075_L9_G1</t>
  </si>
  <si>
    <t>legacyPadl100_pin0p02_pout0p06_L1_G1</t>
  </si>
  <si>
    <t>legacyPadl100_pin0p02_pout0p06_L1_G3</t>
  </si>
  <si>
    <t>legacyPadl100_pin0p02_pout0p06_L1_G5</t>
  </si>
  <si>
    <t>legacyPadl100_pin0p02_pout0p06_L1_G7</t>
  </si>
  <si>
    <t>legacyPadl100_pin0p02_pout0p06_L1_G9</t>
  </si>
  <si>
    <t>legacyPadl100_pin0p02_pout0p06_L3_G1</t>
  </si>
  <si>
    <t>legacyPadl100_pin0p02_pout0p06_L5_G1</t>
  </si>
  <si>
    <t>legacyPadl100_pin0p02_pout0p06_L7_G1</t>
  </si>
  <si>
    <t>legacyPadl100_pin0p02_pout0p06_L9_G1</t>
  </si>
  <si>
    <t>filename</t>
  </si>
  <si>
    <t>legacy_padl</t>
  </si>
  <si>
    <t>p_in_interval</t>
  </si>
  <si>
    <t>p_out_interval</t>
  </si>
  <si>
    <t>L</t>
  </si>
  <si>
    <t>G</t>
  </si>
  <si>
    <t>bandwidth_overhead_percent</t>
  </si>
  <si>
    <t>latency_overhead_percent</t>
  </si>
  <si>
    <t>CW_tamaraw_legacyPadl100_pin0p015_pout0p045_L1_G1_metrics.json</t>
  </si>
  <si>
    <t>CW_tamaraw_legacyPadl100_pin0p015_pout0p045_L1_G3_metrics.json</t>
  </si>
  <si>
    <t>CW_tamaraw_legacyPadl100_pin0p015_pout0p045_L1_G5_metrics.json</t>
  </si>
  <si>
    <t>CW_tamaraw_legacyPadl100_pin0p015_pout0p045_L1_G7_metrics.json</t>
  </si>
  <si>
    <t>CW_tamaraw_legacyPadl100_pin0p015_pout0p045_L1_G9_metrics.json</t>
  </si>
  <si>
    <t>CW_tamaraw_legacyPadl100_pin0p015_pout0p045_L3_G1_metrics.json</t>
  </si>
  <si>
    <t>CW_tamaraw_legacyPadl100_pin0p015_pout0p045_L5_G1_metrics.json</t>
  </si>
  <si>
    <t>CW_tamaraw_legacyPadl100_pin0p015_pout0p045_L7_G1_metrics.json</t>
  </si>
  <si>
    <t>CW_tamaraw_legacyPadl100_pin0p015_pout0p045_L9_G1_metrics.json</t>
  </si>
  <si>
    <t>CW_tamaraw_legacyPadl100_pin0p025_pout0p075_L1_G1_metrics.json</t>
  </si>
  <si>
    <t>CW_tamaraw_legacyPadl100_pin0p025_pout0p075_L1_G3_metrics.json</t>
  </si>
  <si>
    <t>CW_tamaraw_legacyPadl100_pin0p025_pout0p075_L1_G5_metrics.json</t>
  </si>
  <si>
    <t>CW_tamaraw_legacyPadl100_pin0p025_pout0p075_L1_G7_metrics.json</t>
  </si>
  <si>
    <t>CW_tamaraw_legacyPadl100_pin0p025_pout0p075_L1_G9_metrics.json</t>
  </si>
  <si>
    <t>CW_tamaraw_legacyPadl100_pin0p025_pout0p075_L3_G1_metrics.json</t>
  </si>
  <si>
    <t>CW_tamaraw_legacyPadl100_pin0p025_pout0p075_L5_G1_metrics.json</t>
  </si>
  <si>
    <t>CW_tamaraw_legacyPadl100_pin0p025_pout0p075_L7_G1_metrics.json</t>
  </si>
  <si>
    <t>CW_tamaraw_legacyPadl100_pin0p025_pout0p075_L9_G1_metrics.json</t>
  </si>
  <si>
    <t>CW_tamaraw_legacyPadl100_pin0p02_pout0p06_L1_G1_metrics.json</t>
  </si>
  <si>
    <t>CW_tamaraw_legacyPadl100_pin0p02_pout0p06_L1_G3_metrics.json</t>
  </si>
  <si>
    <t>CW_tamaraw_legacyPadl100_pin0p02_pout0p06_L1_G5_metrics.json</t>
  </si>
  <si>
    <t>CW_tamaraw_legacyPadl100_pin0p02_pout0p06_L1_G7_metrics.json</t>
  </si>
  <si>
    <t>CW_tamaraw_legacyPadl100_pin0p02_pout0p06_L1_G9_metrics.json</t>
  </si>
  <si>
    <t>CW_tamaraw_legacyPadl100_pin0p02_pout0p06_L3_G1_metrics.json</t>
  </si>
  <si>
    <t>CW_tamaraw_legacyPadl100_pin0p02_pout0p06_L5_G1_metrics.json</t>
  </si>
  <si>
    <t>CW_tamaraw_legacyPadl100_pin0p02_pout0p06_L7_G1_metrics.json</t>
  </si>
  <si>
    <t>CW_tamaraw_legacyPadl100_pin0p02_pout0p06_L9_G1_metrics.json</t>
  </si>
  <si>
    <t>CW_tamaraw_legacyPadl100_pin0p04_pout0p12_L1_G1_metrics.json</t>
  </si>
  <si>
    <t>TPR/FPR</t>
  </si>
  <si>
    <t>BO</t>
  </si>
  <si>
    <t>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</si>
</sst>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DF: 0.015 0.045 G1-9 TPR/FPR vs BO</a:t>
            </a:r>
          </a:p>
        </c:rich>
      </c:tx>
      <c:layout>
        <c:manualLayout>
          <c:xMode val="edge"/>
          <c:yMode val="edge"/>
          <c:x val="0.1264090989786989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0.014 0.045 G1-9 TPR/FPR vs BO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onepage_all_schedules!$G$150:$G$154</c:f>
              <c:numCache>
                <c:formatCode>General</c:formatCode>
                <c:ptCount val="5"/>
                <c:pt idx="0">
                  <c:v>117.893887031212</c:v>
                </c:pt>
                <c:pt idx="1">
                  <c:v>216.185464261177</c:v>
                </c:pt>
                <c:pt idx="2">
                  <c:v>313.96283653275799</c:v>
                </c:pt>
                <c:pt idx="3">
                  <c:v>412.92246253311401</c:v>
                </c:pt>
                <c:pt idx="4">
                  <c:v>510.04199588004798</c:v>
                </c:pt>
              </c:numCache>
            </c:numRef>
          </c:xVal>
          <c:yVal>
            <c:numRef>
              <c:f>onepage_all_schedules!$I$2:$I$6</c:f>
              <c:numCache>
                <c:formatCode>General</c:formatCode>
                <c:ptCount val="5"/>
                <c:pt idx="0">
                  <c:v>2.1801511322469405</c:v>
                </c:pt>
                <c:pt idx="1">
                  <c:v>1.4928585656532214</c:v>
                </c:pt>
                <c:pt idx="2">
                  <c:v>1.5365125396600854</c:v>
                </c:pt>
                <c:pt idx="3">
                  <c:v>1.5286090686100355</c:v>
                </c:pt>
                <c:pt idx="4">
                  <c:v>1.4283282595960862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95-4855-B040-D936F3AE5D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47199"/>
        <c:axId val="954534239"/>
      </c:scatterChart>
      <c:valAx>
        <c:axId val="95454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34239"/>
        <c:crosses val="autoZero"/>
        <c:crossBetween val="midCat"/>
      </c:valAx>
      <c:valAx>
        <c:axId val="954534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4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DF: 0.015 0.045 L1-9 TPR/FPR vs BO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onepage_all_schedules!$G$156:$G$160</c:f>
              <c:numCache>
                <c:formatCode>General</c:formatCode>
                <c:ptCount val="5"/>
                <c:pt idx="0">
                  <c:v>117.893887031212</c:v>
                </c:pt>
                <c:pt idx="1">
                  <c:v>172.73236077436599</c:v>
                </c:pt>
                <c:pt idx="2">
                  <c:v>244.526603795055</c:v>
                </c:pt>
                <c:pt idx="3">
                  <c:v>314.18513271964099</c:v>
                </c:pt>
                <c:pt idx="4">
                  <c:v>394.10594886872099</c:v>
                </c:pt>
              </c:numCache>
            </c:numRef>
          </c:xVal>
          <c:yVal>
            <c:numRef>
              <c:f>onepage_all_schedules!$I$8:$I$12</c:f>
              <c:numCache>
                <c:formatCode>General</c:formatCode>
                <c:ptCount val="5"/>
                <c:pt idx="0">
                  <c:v>2.1801511322469405</c:v>
                </c:pt>
                <c:pt idx="1">
                  <c:v>1.7839935722769504</c:v>
                </c:pt>
                <c:pt idx="2">
                  <c:v>1.7370787392211777</c:v>
                </c:pt>
                <c:pt idx="3">
                  <c:v>1.52056657009222</c:v>
                </c:pt>
                <c:pt idx="4">
                  <c:v>1.0540430988913567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84-41B1-A3C2-EA9B353A9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0672191"/>
        <c:axId val="1250680351"/>
      </c:scatterChart>
      <c:valAx>
        <c:axId val="12506721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80351"/>
        <c:crosses val="autoZero"/>
        <c:crossBetween val="midCat"/>
      </c:valAx>
      <c:valAx>
        <c:axId val="12506803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06721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DF: 0.025 0.075 G1-9 TPR/FPR vs BO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onepage_all_schedules!$G$162:$G$166</c:f>
              <c:numCache>
                <c:formatCode>General</c:formatCode>
                <c:ptCount val="5"/>
                <c:pt idx="0">
                  <c:v>94.1388245720171</c:v>
                </c:pt>
                <c:pt idx="1">
                  <c:v>192.650841653274</c:v>
                </c:pt>
                <c:pt idx="2">
                  <c:v>289.93744520329301</c:v>
                </c:pt>
                <c:pt idx="3">
                  <c:v>389.35465792654298</c:v>
                </c:pt>
                <c:pt idx="4">
                  <c:v>485.29565021588201</c:v>
                </c:pt>
              </c:numCache>
            </c:numRef>
          </c:xVal>
          <c:yVal>
            <c:numRef>
              <c:f>onepage_all_schedules!$I$14:$I$18</c:f>
              <c:numCache>
                <c:formatCode>General</c:formatCode>
                <c:ptCount val="5"/>
                <c:pt idx="0">
                  <c:v>2.415805141211365</c:v>
                </c:pt>
                <c:pt idx="1">
                  <c:v>1.5026206954887784</c:v>
                </c:pt>
                <c:pt idx="2">
                  <c:v>1.5347839419415843</c:v>
                </c:pt>
                <c:pt idx="3">
                  <c:v>1.5075363455833675</c:v>
                </c:pt>
                <c:pt idx="4">
                  <c:v>1.356302796345991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23-46E0-B389-EB5001D9A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50367"/>
        <c:axId val="1263350847"/>
      </c:scatterChart>
      <c:valAx>
        <c:axId val="12633503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50847"/>
        <c:crosses val="autoZero"/>
        <c:crossBetween val="midCat"/>
      </c:valAx>
      <c:valAx>
        <c:axId val="126335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50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DF: 0.025 0.075 L1-9 TPR/FPR vs BO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onepage_all_schedules!$G$168:$G$172</c:f>
              <c:numCache>
                <c:formatCode>General</c:formatCode>
                <c:ptCount val="5"/>
                <c:pt idx="0">
                  <c:v>94.1388245720171</c:v>
                </c:pt>
                <c:pt idx="1">
                  <c:v>154.00379100854099</c:v>
                </c:pt>
                <c:pt idx="2">
                  <c:v>220.24573428003899</c:v>
                </c:pt>
                <c:pt idx="3">
                  <c:v>299.68831197278899</c:v>
                </c:pt>
                <c:pt idx="4">
                  <c:v>387.39808021485902</c:v>
                </c:pt>
              </c:numCache>
            </c:numRef>
          </c:xVal>
          <c:yVal>
            <c:numRef>
              <c:f>onepage_all_schedules!$I$20:$I$24</c:f>
              <c:numCache>
                <c:formatCode>General</c:formatCode>
                <c:ptCount val="5"/>
                <c:pt idx="0">
                  <c:v>2.415805141211365</c:v>
                </c:pt>
                <c:pt idx="1">
                  <c:v>1.7761699235644055</c:v>
                </c:pt>
                <c:pt idx="2">
                  <c:v>1.7339522460147427</c:v>
                </c:pt>
                <c:pt idx="3">
                  <c:v>1.4869973526239528</c:v>
                </c:pt>
                <c:pt idx="4">
                  <c:v>1.3704497319852065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88-43A1-B7FF-E2BFE0FDA4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07839"/>
        <c:axId val="954514559"/>
      </c:scatterChart>
      <c:valAx>
        <c:axId val="954507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14559"/>
        <c:crosses val="autoZero"/>
        <c:crossBetween val="midCat"/>
      </c:valAx>
      <c:valAx>
        <c:axId val="9545145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078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DF: 0.02 0.06 G1-9 TPR/FPR vs BO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onepage_all_schedules!$G$174:$G$178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onepage_all_schedules!$I$26:$I$30</c:f>
              <c:numCache>
                <c:formatCode>General</c:formatCode>
                <c:ptCount val="5"/>
                <c:pt idx="0">
                  <c:v>2.4532780294221439</c:v>
                </c:pt>
                <c:pt idx="1">
                  <c:v>1.5833486701112209</c:v>
                </c:pt>
                <c:pt idx="2">
                  <c:v>1.5659405809026838</c:v>
                </c:pt>
                <c:pt idx="3">
                  <c:v>1.5657630774230717</c:v>
                </c:pt>
                <c:pt idx="4">
                  <c:v>1.4435325085548829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8-4B93-991B-49D06E3C3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568319"/>
        <c:axId val="954586079"/>
      </c:scatterChart>
      <c:valAx>
        <c:axId val="954568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86079"/>
        <c:crosses val="autoZero"/>
        <c:crossBetween val="midCat"/>
      </c:valAx>
      <c:valAx>
        <c:axId val="954586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5683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DF: 0.02 0.06 L1-9 TPR/FPR vs BO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onepage_all_schedules!$G$180:$G$184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onepage_all_schedules!$I$32:$I$36</c:f>
              <c:numCache>
                <c:formatCode>General</c:formatCode>
                <c:ptCount val="5"/>
                <c:pt idx="0">
                  <c:v>2.4532780294221439</c:v>
                </c:pt>
                <c:pt idx="1">
                  <c:v>1.7311266262590836</c:v>
                </c:pt>
                <c:pt idx="2">
                  <c:v>1.6717974471810348</c:v>
                </c:pt>
                <c:pt idx="3">
                  <c:v>1.515600263852243</c:v>
                </c:pt>
                <c:pt idx="4">
                  <c:v>1.2070572275979978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43-47E9-BD39-BF5183FB30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3383967"/>
        <c:axId val="1263384447"/>
      </c:scatterChart>
      <c:valAx>
        <c:axId val="12633839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84447"/>
        <c:crosses val="autoZero"/>
        <c:crossBetween val="midCat"/>
      </c:valAx>
      <c:valAx>
        <c:axId val="126338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3839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Accuracy</a:t>
            </a:r>
            <a:r>
              <a:rPr lang="en-US" baseline="0">
                <a:solidFill>
                  <a:sysClr val="windowText" lastClr="000000"/>
                </a:solidFill>
              </a:rPr>
              <a:t> vs Bandwidth Overhead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11657068084646"/>
          <c:y val="0.22150457945951232"/>
          <c:w val="0.61593829959244228"/>
          <c:h val="0.51379292670184395"/>
        </c:manualLayout>
      </c:layout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onepage_all_schedules!$J$26:$J$30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onepage_all_schedules!$C$26:$C$30</c:f>
              <c:numCache>
                <c:formatCode>General</c:formatCode>
                <c:ptCount val="5"/>
                <c:pt idx="0">
                  <c:v>0.63266210526315791</c:v>
                </c:pt>
                <c:pt idx="1">
                  <c:v>0.62007999999999996</c:v>
                </c:pt>
                <c:pt idx="2">
                  <c:v>0.61399789473684208</c:v>
                </c:pt>
                <c:pt idx="3">
                  <c:v>0.60078736842105263</c:v>
                </c:pt>
                <c:pt idx="4">
                  <c:v>0.58869789473684209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F2-42B2-8F35-9B5406DCC377}"/>
            </c:ext>
          </c:extLst>
        </c:ser>
        <c:ser>
          <c:idx val="1"/>
          <c:order val="1"/>
          <c:tx>
            <c:v>Tik-Tok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onepage_all_schedules!$J$98:$J$102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onepage_all_schedules!$C$98:$C$102</c:f>
              <c:numCache>
                <c:formatCode>General</c:formatCode>
                <c:ptCount val="5"/>
                <c:pt idx="0">
                  <c:v>0.7563042105263158</c:v>
                </c:pt>
                <c:pt idx="1">
                  <c:v>0.66764315789473672</c:v>
                </c:pt>
                <c:pt idx="2">
                  <c:v>0.60143263157894755</c:v>
                </c:pt>
                <c:pt idx="3">
                  <c:v>0.57299894736842116</c:v>
                </c:pt>
                <c:pt idx="4">
                  <c:v>0.54630736842105243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6F2-42B2-8F35-9B5406DCC377}"/>
            </c:ext>
          </c:extLst>
        </c:ser>
        <c:ser>
          <c:idx val="2"/>
          <c:order val="2"/>
          <c:tx>
            <c:v>RF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onepage_all_schedules!$J$62:$J$66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onepage_all_schedules!$C$62:$C$66</c:f>
              <c:numCache>
                <c:formatCode>General</c:formatCode>
                <c:ptCount val="5"/>
                <c:pt idx="0">
                  <c:v>0.76767894736842091</c:v>
                </c:pt>
                <c:pt idx="1">
                  <c:v>0.68586631578947344</c:v>
                </c:pt>
                <c:pt idx="2">
                  <c:v>0.65064736842105253</c:v>
                </c:pt>
                <c:pt idx="3">
                  <c:v>0.62328736842105237</c:v>
                </c:pt>
                <c:pt idx="4">
                  <c:v>0.59924947368421055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6F2-42B2-8F35-9B5406DCC377}"/>
            </c:ext>
          </c:extLst>
        </c:ser>
        <c:ser>
          <c:idx val="3"/>
          <c:order val="3"/>
          <c:tx>
            <c:v>VarCNN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onepage_all_schedules!$J$134:$J$138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onepage_all_schedules!$C$134:$C$138</c:f>
              <c:numCache>
                <c:formatCode>General</c:formatCode>
                <c:ptCount val="5"/>
                <c:pt idx="0">
                  <c:v>0.72857894736842077</c:v>
                </c:pt>
                <c:pt idx="1">
                  <c:v>0.69396105363157901</c:v>
                </c:pt>
                <c:pt idx="2">
                  <c:v>0.69266210526315797</c:v>
                </c:pt>
                <c:pt idx="3">
                  <c:v>0.67644947368421038</c:v>
                </c:pt>
                <c:pt idx="4">
                  <c:v>0.66759894736842118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6F2-42B2-8F35-9B5406DCC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943408"/>
        <c:axId val="484567152"/>
      </c:scatterChart>
      <c:valAx>
        <c:axId val="1718943408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Bandwidth</a:t>
                </a:r>
                <a:r>
                  <a:rPr lang="en-US" baseline="0">
                    <a:solidFill>
                      <a:sysClr val="windowText" lastClr="000000"/>
                    </a:solidFill>
                  </a:rPr>
                  <a:t>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67152"/>
        <c:crosses val="autoZero"/>
        <c:crossBetween val="midCat"/>
        <c:majorUnit val="50"/>
      </c:valAx>
      <c:valAx>
        <c:axId val="484567152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solidFill>
                      <a:sysClr val="windowText" lastClr="000000"/>
                    </a:solidFill>
                  </a:rPr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4340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05914796262801"/>
          <c:y val="0.28296531348030934"/>
          <c:w val="0.19094085203737196"/>
          <c:h val="0.39915815352523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F1 vs Bandwidth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03614392858575"/>
          <c:y val="0.21104836318774328"/>
          <c:w val="0.60708122480574944"/>
          <c:h val="0.50856564941709781"/>
        </c:manualLayout>
      </c:layout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onepage_all_schedules!$J$26:$J$30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onepage_all_schedules!$F$26:$F$30</c:f>
              <c:numCache>
                <c:formatCode>General</c:formatCode>
                <c:ptCount val="5"/>
                <c:pt idx="0">
                  <c:v>0.64356631578947399</c:v>
                </c:pt>
                <c:pt idx="1">
                  <c:v>0.606037894736842</c:v>
                </c:pt>
                <c:pt idx="2">
                  <c:v>0.5688410526315788</c:v>
                </c:pt>
                <c:pt idx="3">
                  <c:v>0.55292736842105283</c:v>
                </c:pt>
                <c:pt idx="4">
                  <c:v>0.54466315789473685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99-425E-AFDA-5377F90D4AE1}"/>
            </c:ext>
          </c:extLst>
        </c:ser>
        <c:ser>
          <c:idx val="1"/>
          <c:order val="1"/>
          <c:tx>
            <c:v>Tik-Tok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onepage_all_schedules!$J$98:$J$102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onepage_all_schedules!$F$98:$F$102</c:f>
              <c:numCache>
                <c:formatCode>General</c:formatCode>
                <c:ptCount val="5"/>
                <c:pt idx="0">
                  <c:v>0.73391684210526331</c:v>
                </c:pt>
                <c:pt idx="1">
                  <c:v>0.6371694736842104</c:v>
                </c:pt>
                <c:pt idx="2">
                  <c:v>0.54943894736842103</c:v>
                </c:pt>
                <c:pt idx="3">
                  <c:v>0.5086978947368419</c:v>
                </c:pt>
                <c:pt idx="4">
                  <c:v>0.47093473684210502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099-425E-AFDA-5377F90D4AE1}"/>
            </c:ext>
          </c:extLst>
        </c:ser>
        <c:ser>
          <c:idx val="2"/>
          <c:order val="2"/>
          <c:tx>
            <c:v>RF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onepage_all_schedules!$J$62:$J$66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onepage_all_schedules!$F$62:$F$66</c:f>
              <c:numCache>
                <c:formatCode>General</c:formatCode>
                <c:ptCount val="5"/>
                <c:pt idx="0">
                  <c:v>0.75235157894736837</c:v>
                </c:pt>
                <c:pt idx="1">
                  <c:v>0.67455473684210543</c:v>
                </c:pt>
                <c:pt idx="2">
                  <c:v>0.63989473684210529</c:v>
                </c:pt>
                <c:pt idx="3">
                  <c:v>0.60746421052631583</c:v>
                </c:pt>
                <c:pt idx="4">
                  <c:v>0.57576842105263171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099-425E-AFDA-5377F90D4AE1}"/>
            </c:ext>
          </c:extLst>
        </c:ser>
        <c:ser>
          <c:idx val="3"/>
          <c:order val="3"/>
          <c:tx>
            <c:v>VarCNN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onepage_all_schedules!$J$134:$J$138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onepage_all_schedules!$F$134:$F$138</c:f>
              <c:numCache>
                <c:formatCode>General</c:formatCode>
                <c:ptCount val="5"/>
                <c:pt idx="0">
                  <c:v>0.70400105263157919</c:v>
                </c:pt>
                <c:pt idx="1">
                  <c:v>0.67242000000000024</c:v>
                </c:pt>
                <c:pt idx="2">
                  <c:v>0.66969263157894743</c:v>
                </c:pt>
                <c:pt idx="3">
                  <c:v>0.64402736842105224</c:v>
                </c:pt>
                <c:pt idx="4">
                  <c:v>0.63049157894736818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099-425E-AFDA-5377F90D4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481840"/>
        <c:axId val="1277664976"/>
      </c:scatterChart>
      <c:valAx>
        <c:axId val="1336481840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  <a:r>
                  <a:rPr lang="en-US" baseline="0"/>
                  <a:t> Overhead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4976"/>
        <c:crosses val="autoZero"/>
        <c:crossBetween val="midCat"/>
        <c:majorUnit val="50"/>
        <c:minorUnit val="50"/>
      </c:valAx>
      <c:valAx>
        <c:axId val="1277664976"/>
        <c:scaling>
          <c:orientation val="minMax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8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9459761593768"/>
          <c:y val="0.27323288352476499"/>
          <c:w val="0.18524908125243342"/>
          <c:h val="0.40992320419268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TPR/FPR vs Bandwidth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03614392858575"/>
          <c:y val="0.21104836318774328"/>
          <c:w val="0.60708122480574944"/>
          <c:h val="0.50856564941709781"/>
        </c:manualLayout>
      </c:layout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onepage_all_schedules!$J$26:$J$30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onepage_all_schedules!$I$26:$I$30</c:f>
              <c:numCache>
                <c:formatCode>General</c:formatCode>
                <c:ptCount val="5"/>
                <c:pt idx="0">
                  <c:v>2.4532780294221439</c:v>
                </c:pt>
                <c:pt idx="1">
                  <c:v>1.5833486701112209</c:v>
                </c:pt>
                <c:pt idx="2">
                  <c:v>1.5659405809026838</c:v>
                </c:pt>
                <c:pt idx="3">
                  <c:v>1.5657630774230717</c:v>
                </c:pt>
                <c:pt idx="4">
                  <c:v>1.4435325085548829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DEB-4970-92FF-43BED8F5AA8F}"/>
            </c:ext>
          </c:extLst>
        </c:ser>
        <c:ser>
          <c:idx val="1"/>
          <c:order val="1"/>
          <c:tx>
            <c:v>Tik-Tok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onepage_all_schedules!$J$98:$J$102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onepage_all_schedules!$I$98:$I$102</c:f>
              <c:numCache>
                <c:formatCode>General</c:formatCode>
                <c:ptCount val="5"/>
                <c:pt idx="0">
                  <c:v>3.1046770890046922</c:v>
                </c:pt>
                <c:pt idx="1">
                  <c:v>2.0747778924574498</c:v>
                </c:pt>
                <c:pt idx="2">
                  <c:v>1.7013494370043667</c:v>
                </c:pt>
                <c:pt idx="3">
                  <c:v>1.5034897608116851</c:v>
                </c:pt>
                <c:pt idx="4">
                  <c:v>1.2422464282851615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DEB-4970-92FF-43BED8F5AA8F}"/>
            </c:ext>
          </c:extLst>
        </c:ser>
        <c:ser>
          <c:idx val="2"/>
          <c:order val="2"/>
          <c:tx>
            <c:v>RF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onepage_all_schedules!$J$62:$J$66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onepage_all_schedules!$I$62:$I$66</c:f>
              <c:numCache>
                <c:formatCode>General</c:formatCode>
                <c:ptCount val="5"/>
                <c:pt idx="0">
                  <c:v>2.4979542493080342</c:v>
                </c:pt>
                <c:pt idx="1">
                  <c:v>1.9539103356342182</c:v>
                </c:pt>
                <c:pt idx="2">
                  <c:v>1.7069225361666451</c:v>
                </c:pt>
                <c:pt idx="3">
                  <c:v>1.5552371057408541</c:v>
                </c:pt>
                <c:pt idx="4">
                  <c:v>1.4109891687016574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DEB-4970-92FF-43BED8F5AA8F}"/>
            </c:ext>
          </c:extLst>
        </c:ser>
        <c:ser>
          <c:idx val="3"/>
          <c:order val="3"/>
          <c:tx>
            <c:v>VarCNN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onepage_all_schedules!$J$134:$J$138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onepage_all_schedules!$I$134:$I$138</c:f>
              <c:numCache>
                <c:formatCode>General</c:formatCode>
                <c:ptCount val="5"/>
                <c:pt idx="0">
                  <c:v>2.0697021613397206</c:v>
                </c:pt>
                <c:pt idx="1">
                  <c:v>1.8534790534933065</c:v>
                </c:pt>
                <c:pt idx="2">
                  <c:v>1.8482051258459116</c:v>
                </c:pt>
                <c:pt idx="3">
                  <c:v>1.7171028637363144</c:v>
                </c:pt>
                <c:pt idx="4">
                  <c:v>1.6277491879911097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DEB-4970-92FF-43BED8F5AA8F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axId val="1336481840"/>
        <c:axId val="1277664976"/>
      </c:scatterChart>
      <c:valAx>
        <c:axId val="1336481840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</a:t>
                </a:r>
                <a:r>
                  <a:rPr lang="en-US" baseline="0"/>
                  <a:t> Overhead (%)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4976"/>
        <c:crosses val="autoZero"/>
        <c:crossBetween val="midCat"/>
        <c:majorUnit val="50"/>
        <c:minorUnit val="50"/>
      </c:valAx>
      <c:valAx>
        <c:axId val="1277664976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TPR/FPR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8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09459761593768"/>
          <c:y val="0.27323288352476499"/>
          <c:w val="0.18524908125243342"/>
          <c:h val="0.40992320419268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Overhead vs Bandwidth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11657068084646"/>
          <c:y val="0.22150457945951232"/>
          <c:w val="0.61593829959244228"/>
          <c:h val="0.51379292670184395"/>
        </c:manualLayout>
      </c:layout>
      <c:scatterChart>
        <c:scatterStyle val="lineMarker"/>
        <c:varyColors val="0"/>
        <c:ser>
          <c:idx val="4"/>
          <c:order val="4"/>
          <c:tx>
            <c:v>Overhead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onepage_all_schedules!$J$134:$J$138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199.175629209589</c:v>
                </c:pt>
                <c:pt idx="2">
                  <c:v>297.269970783134</c:v>
                </c:pt>
                <c:pt idx="3">
                  <c:v>395.07866871779299</c:v>
                </c:pt>
                <c:pt idx="4">
                  <c:v>493.81878303465197</c:v>
                </c:pt>
              </c:numCache>
            </c:numRef>
          </c:xVal>
          <c:yVal>
            <c:numRef>
              <c:f>onepage_all_schedules!$K$134:$K$138</c:f>
              <c:numCache>
                <c:formatCode>General</c:formatCode>
                <c:ptCount val="5"/>
                <c:pt idx="0">
                  <c:v>146.625254818109</c:v>
                </c:pt>
                <c:pt idx="1">
                  <c:v>382.13239634282002</c:v>
                </c:pt>
                <c:pt idx="2">
                  <c:v>615.670677684201</c:v>
                </c:pt>
                <c:pt idx="3">
                  <c:v>846.39722190017699</c:v>
                </c:pt>
                <c:pt idx="4">
                  <c:v>1082.4600654794699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573-405D-B386-5B227AD8E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943408"/>
        <c:axId val="4845671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DF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onepage_all_schedules!$K$26:$K$30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onepage_all_schedules!$C$26:$C$30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0.63266210526315791</c:v>
                      </c:pt>
                      <c:pt idx="1">
                        <c:v>0.62007999999999996</c:v>
                      </c:pt>
                      <c:pt idx="2">
                        <c:v>0.61399789473684208</c:v>
                      </c:pt>
                      <c:pt idx="3">
                        <c:v>0.60078736842105263</c:v>
                      </c:pt>
                      <c:pt idx="4">
                        <c:v>0.58869789473684209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4573-405D-B386-5B227AD8EC2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Tik-Tok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onepage_all_schedules!$K$98:$K$102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onepage_all_schedules!$C$98:$C$102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0.7563042105263158</c:v>
                      </c:pt>
                      <c:pt idx="1">
                        <c:v>0.66764315789473672</c:v>
                      </c:pt>
                      <c:pt idx="2">
                        <c:v>0.60143263157894755</c:v>
                      </c:pt>
                      <c:pt idx="3">
                        <c:v>0.57299894736842116</c:v>
                      </c:pt>
                      <c:pt idx="4">
                        <c:v>0.54630736842105243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4573-405D-B386-5B227AD8EC21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RF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onepage_all_schedules!$K$62:$K$66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onepage_all_schedules!$C$62:$C$66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0.76767894736842091</c:v>
                      </c:pt>
                      <c:pt idx="1">
                        <c:v>0.68586631578947344</c:v>
                      </c:pt>
                      <c:pt idx="2">
                        <c:v>0.65064736842105253</c:v>
                      </c:pt>
                      <c:pt idx="3">
                        <c:v>0.62328736842105237</c:v>
                      </c:pt>
                      <c:pt idx="4">
                        <c:v>0.59924947368421055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2-4573-405D-B386-5B227AD8EC21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VarCNN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onepage_all_schedules!$K$134:$K$138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onepage_all_schedules!$C$140:$C$144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0.72857894736842077</c:v>
                      </c:pt>
                      <c:pt idx="1">
                        <c:v>0.70062736842105267</c:v>
                      </c:pt>
                      <c:pt idx="2">
                        <c:v>0.65152842105263165</c:v>
                      </c:pt>
                      <c:pt idx="3">
                        <c:v>0.64711578947368409</c:v>
                      </c:pt>
                      <c:pt idx="4">
                        <c:v>0.50345578947368408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3-4573-405D-B386-5B227AD8EC21}"/>
                  </c:ext>
                </c:extLst>
              </c15:ser>
            </c15:filteredScatterSeries>
          </c:ext>
        </c:extLst>
      </c:scatterChart>
      <c:valAx>
        <c:axId val="1718943408"/>
        <c:scaling>
          <c:orientation val="minMax"/>
          <c:max val="5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67152"/>
        <c:crosses val="autoZero"/>
        <c:crossBetween val="midCat"/>
        <c:majorUnit val="50"/>
      </c:valAx>
      <c:valAx>
        <c:axId val="484567152"/>
        <c:scaling>
          <c:orientation val="minMax"/>
          <c:max val="11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43408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979426007399534"/>
          <c:y val="0.28296531348030934"/>
          <c:w val="0.21020573992600461"/>
          <c:h val="0.10148952069578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Accuracy vs Bandwidth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11657068084646"/>
          <c:y val="0.22150457945951232"/>
          <c:w val="0.61593829959244228"/>
          <c:h val="0.51379292670184395"/>
        </c:manualLayout>
      </c:layout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onepage_all_schedules!$J$32:$J$36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onepage_all_schedules!$C$32:$C$36</c:f>
              <c:numCache>
                <c:formatCode>General</c:formatCode>
                <c:ptCount val="5"/>
                <c:pt idx="0">
                  <c:v>0.68266210526315796</c:v>
                </c:pt>
                <c:pt idx="1">
                  <c:v>0.67510947368421037</c:v>
                </c:pt>
                <c:pt idx="2">
                  <c:v>0.65039894736842097</c:v>
                </c:pt>
                <c:pt idx="3">
                  <c:v>0.63936210526315795</c:v>
                </c:pt>
                <c:pt idx="4">
                  <c:v>0.55357894736842084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D8-4620-AC75-A54EC4127D82}"/>
            </c:ext>
          </c:extLst>
        </c:ser>
        <c:ser>
          <c:idx val="1"/>
          <c:order val="1"/>
          <c:tx>
            <c:v>Tik-Tok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onepage_all_schedules!$J$104:$J$108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onepage_all_schedules!$C$104:$C$108</c:f>
              <c:numCache>
                <c:formatCode>General</c:formatCode>
                <c:ptCount val="5"/>
                <c:pt idx="0">
                  <c:v>0.75830421052631602</c:v>
                </c:pt>
                <c:pt idx="1">
                  <c:v>0.75739999999999963</c:v>
                </c:pt>
                <c:pt idx="2">
                  <c:v>0.69032315789473675</c:v>
                </c:pt>
                <c:pt idx="3">
                  <c:v>0.64246947368421059</c:v>
                </c:pt>
                <c:pt idx="4">
                  <c:v>0.49932210526315773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2D8-4620-AC75-A54EC4127D82}"/>
            </c:ext>
          </c:extLst>
        </c:ser>
        <c:ser>
          <c:idx val="2"/>
          <c:order val="2"/>
          <c:tx>
            <c:v>RF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onepage_all_schedules!$J$68:$J$72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onepage_all_schedules!$C$68:$C$72</c:f>
              <c:numCache>
                <c:formatCode>General</c:formatCode>
                <c:ptCount val="5"/>
                <c:pt idx="0">
                  <c:v>0.76767894736842091</c:v>
                </c:pt>
                <c:pt idx="1">
                  <c:v>0.75971052631578906</c:v>
                </c:pt>
                <c:pt idx="2">
                  <c:v>0.69849263157894725</c:v>
                </c:pt>
                <c:pt idx="3">
                  <c:v>0.64152842105263164</c:v>
                </c:pt>
                <c:pt idx="4">
                  <c:v>0.49965052631578932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2D8-4620-AC75-A54EC4127D82}"/>
            </c:ext>
          </c:extLst>
        </c:ser>
        <c:ser>
          <c:idx val="3"/>
          <c:order val="3"/>
          <c:tx>
            <c:v>VarCNN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onepage_all_schedules!$J$140:$J$144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onepage_all_schedules!$C$140:$C$144</c:f>
              <c:numCache>
                <c:formatCode>General</c:formatCode>
                <c:ptCount val="5"/>
                <c:pt idx="0">
                  <c:v>0.72857894736842077</c:v>
                </c:pt>
                <c:pt idx="1">
                  <c:v>0.70062736842105267</c:v>
                </c:pt>
                <c:pt idx="2">
                  <c:v>0.65152842105263165</c:v>
                </c:pt>
                <c:pt idx="3">
                  <c:v>0.64711578947368409</c:v>
                </c:pt>
                <c:pt idx="4">
                  <c:v>0.50345578947368408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2D8-4620-AC75-A54EC4127D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943408"/>
        <c:axId val="484567152"/>
      </c:scatterChart>
      <c:valAx>
        <c:axId val="1718943408"/>
        <c:scaling>
          <c:orientation val="minMax"/>
          <c:max val="4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67152"/>
        <c:crosses val="autoZero"/>
        <c:crossBetween val="midCat"/>
        <c:majorUnit val="50"/>
      </c:valAx>
      <c:valAx>
        <c:axId val="484567152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Accuracy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43408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905914796262801"/>
          <c:y val="0.28296531348030934"/>
          <c:w val="0.19094085203737196"/>
          <c:h val="0.39915815352523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F1 vs Bandwidth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03614392858575"/>
          <c:y val="0.21104836318774328"/>
          <c:w val="0.60708122480574944"/>
          <c:h val="0.50856564941709781"/>
        </c:manualLayout>
      </c:layout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onepage_all_schedules!$J$32:$J$36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onepage_all_schedules!$F$32:$F$36</c:f>
              <c:numCache>
                <c:formatCode>General</c:formatCode>
                <c:ptCount val="5"/>
                <c:pt idx="0">
                  <c:v>0.64356631578947399</c:v>
                </c:pt>
                <c:pt idx="1">
                  <c:v>0.61883999999999972</c:v>
                </c:pt>
                <c:pt idx="2">
                  <c:v>0.550904210526316</c:v>
                </c:pt>
                <c:pt idx="3">
                  <c:v>0.49092315789473701</c:v>
                </c:pt>
                <c:pt idx="4">
                  <c:v>0.42431052631578925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7D2-416B-A28E-9C9395FA1FFD}"/>
            </c:ext>
          </c:extLst>
        </c:ser>
        <c:ser>
          <c:idx val="1"/>
          <c:order val="1"/>
          <c:tx>
            <c:v>Tik-Tok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onepage_all_schedules!$J$104:$J$108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onepage_all_schedules!$F$104:$F$108</c:f>
              <c:numCache>
                <c:formatCode>General</c:formatCode>
                <c:ptCount val="5"/>
                <c:pt idx="0">
                  <c:v>0.73391684210526331</c:v>
                </c:pt>
                <c:pt idx="1">
                  <c:v>0.71941789473684203</c:v>
                </c:pt>
                <c:pt idx="2">
                  <c:v>0.66785052631578912</c:v>
                </c:pt>
                <c:pt idx="3">
                  <c:v>0.59886315789473676</c:v>
                </c:pt>
                <c:pt idx="4">
                  <c:v>0.33299684210526326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D2-416B-A28E-9C9395FA1FFD}"/>
            </c:ext>
          </c:extLst>
        </c:ser>
        <c:ser>
          <c:idx val="2"/>
          <c:order val="2"/>
          <c:tx>
            <c:v>RF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onepage_all_schedules!$J$68:$J$72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onepage_all_schedules!$F$68:$F$72</c:f>
              <c:numCache>
                <c:formatCode>General</c:formatCode>
                <c:ptCount val="5"/>
                <c:pt idx="0">
                  <c:v>0.75235157894736837</c:v>
                </c:pt>
                <c:pt idx="1">
                  <c:v>0.75209684210526273</c:v>
                </c:pt>
                <c:pt idx="2">
                  <c:v>0.68040842105263144</c:v>
                </c:pt>
                <c:pt idx="3">
                  <c:v>0.59305578947368409</c:v>
                </c:pt>
                <c:pt idx="4">
                  <c:v>0.33314421052631588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7D2-416B-A28E-9C9395FA1FFD}"/>
            </c:ext>
          </c:extLst>
        </c:ser>
        <c:ser>
          <c:idx val="3"/>
          <c:order val="3"/>
          <c:tx>
            <c:v>VarCNN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onepage_all_schedules!$J$140:$J$144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onepage_all_schedules!$F$140:$F$144</c:f>
              <c:numCache>
                <c:formatCode>General</c:formatCode>
                <c:ptCount val="5"/>
                <c:pt idx="0">
                  <c:v>0.70400105263157919</c:v>
                </c:pt>
                <c:pt idx="1">
                  <c:v>0.66919473684210529</c:v>
                </c:pt>
                <c:pt idx="2">
                  <c:v>0.59285894736842071</c:v>
                </c:pt>
                <c:pt idx="3">
                  <c:v>0.57958315789473669</c:v>
                </c:pt>
                <c:pt idx="4">
                  <c:v>0.34052947368421066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7D2-416B-A28E-9C9395FA1F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481840"/>
        <c:axId val="1277664976"/>
      </c:scatterChart>
      <c:valAx>
        <c:axId val="1336481840"/>
        <c:scaling>
          <c:orientation val="minMax"/>
          <c:max val="4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4976"/>
        <c:crosses val="autoZero"/>
        <c:crossBetween val="midCat"/>
        <c:majorUnit val="50"/>
        <c:minorUnit val="50"/>
      </c:valAx>
      <c:valAx>
        <c:axId val="1277664976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8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69656871311324"/>
          <c:y val="0.27323288352476499"/>
          <c:w val="0.18849856604349022"/>
          <c:h val="0.40992320419268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2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TPR/FPR vs Bandwidth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2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8903614392858575"/>
          <c:y val="0.21104836318774328"/>
          <c:w val="0.60708122480574944"/>
          <c:h val="0.50856564941709781"/>
        </c:manualLayout>
      </c:layout>
      <c:scatterChart>
        <c:scatterStyle val="lineMarker"/>
        <c:varyColors val="0"/>
        <c:ser>
          <c:idx val="0"/>
          <c:order val="0"/>
          <c:tx>
            <c:v>DF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onepage_all_schedules!$J$32:$J$36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onepage_all_schedules!$I$32:$I$36</c:f>
              <c:numCache>
                <c:formatCode>General</c:formatCode>
                <c:ptCount val="5"/>
                <c:pt idx="0">
                  <c:v>2.4532780294221439</c:v>
                </c:pt>
                <c:pt idx="1">
                  <c:v>1.7311266262590836</c:v>
                </c:pt>
                <c:pt idx="2">
                  <c:v>1.6717974471810348</c:v>
                </c:pt>
                <c:pt idx="3">
                  <c:v>1.515600263852243</c:v>
                </c:pt>
                <c:pt idx="4">
                  <c:v>1.2070572275979978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8B-4F33-A33E-021274357799}"/>
            </c:ext>
          </c:extLst>
        </c:ser>
        <c:ser>
          <c:idx val="1"/>
          <c:order val="1"/>
          <c:tx>
            <c:v>Tik-Tok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onepage_all_schedules!$J$104:$J$108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onepage_all_schedules!$I$104:$I$108</c:f>
              <c:numCache>
                <c:formatCode>General</c:formatCode>
                <c:ptCount val="5"/>
                <c:pt idx="0">
                  <c:v>3.1046770890046922</c:v>
                </c:pt>
                <c:pt idx="1">
                  <c:v>2.4473847554415289</c:v>
                </c:pt>
                <c:pt idx="2">
                  <c:v>1.7365114177505661</c:v>
                </c:pt>
                <c:pt idx="3">
                  <c:v>1.4978810725638754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8B-4F33-A33E-021274357799}"/>
            </c:ext>
          </c:extLst>
        </c:ser>
        <c:ser>
          <c:idx val="2"/>
          <c:order val="2"/>
          <c:tx>
            <c:v>RF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onepage_all_schedules!$J$68:$J$72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onepage_all_schedules!$I$68:$I$72</c:f>
              <c:numCache>
                <c:formatCode>General</c:formatCode>
                <c:ptCount val="5"/>
                <c:pt idx="0">
                  <c:v>2.4979542493080342</c:v>
                </c:pt>
                <c:pt idx="1">
                  <c:v>2.3911912357215859</c:v>
                </c:pt>
                <c:pt idx="2">
                  <c:v>1.7701706014832439</c:v>
                </c:pt>
                <c:pt idx="3">
                  <c:v>1.4914562333204182</c:v>
                </c:pt>
                <c:pt idx="4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8B-4F33-A33E-021274357799}"/>
            </c:ext>
          </c:extLst>
        </c:ser>
        <c:ser>
          <c:idx val="3"/>
          <c:order val="3"/>
          <c:tx>
            <c:v>VarCNN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onepage_all_schedules!$J$140:$J$144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onepage_all_schedules!$I$140:$I$144</c:f>
              <c:numCache>
                <c:formatCode>General</c:formatCode>
                <c:ptCount val="5"/>
                <c:pt idx="0">
                  <c:v>2.0697021613397206</c:v>
                </c:pt>
                <c:pt idx="1">
                  <c:v>2.0356742769259153</c:v>
                </c:pt>
                <c:pt idx="2">
                  <c:v>1.6625553309300187</c:v>
                </c:pt>
                <c:pt idx="3">
                  <c:v>1.6550612854867639</c:v>
                </c:pt>
                <c:pt idx="4">
                  <c:v>1.0118601055357659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8B-4F33-A33E-0212743577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481840"/>
        <c:axId val="1277664976"/>
      </c:scatterChart>
      <c:valAx>
        <c:axId val="1336481840"/>
        <c:scaling>
          <c:orientation val="minMax"/>
          <c:max val="4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7664976"/>
        <c:crosses val="autoZero"/>
        <c:crossBetween val="midCat"/>
        <c:majorUnit val="50"/>
        <c:minorUnit val="50"/>
      </c:valAx>
      <c:valAx>
        <c:axId val="1277664976"/>
        <c:scaling>
          <c:orientation val="minMax"/>
          <c:min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TPR/FPR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4818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444804070194897"/>
          <c:y val="0.27323288352476499"/>
          <c:w val="0.19174689601079764"/>
          <c:h val="0.4099232041926877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ysClr val="windowText" lastClr="000000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Latency Overhead vs Bandwidth Overhead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211657068084646"/>
          <c:y val="0.22150457945951232"/>
          <c:w val="0.61593829959244228"/>
          <c:h val="0.51379292670184395"/>
        </c:manualLayout>
      </c:layout>
      <c:scatterChart>
        <c:scatterStyle val="lineMarker"/>
        <c:varyColors val="0"/>
        <c:ser>
          <c:idx val="4"/>
          <c:order val="4"/>
          <c:tx>
            <c:v>Overhead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onepage_all_schedules!$J$140:$J$144</c:f>
              <c:numCache>
                <c:formatCode>General</c:formatCode>
                <c:ptCount val="5"/>
                <c:pt idx="0">
                  <c:v>101.50360398273</c:v>
                </c:pt>
                <c:pt idx="1">
                  <c:v>158.75624216046199</c:v>
                </c:pt>
                <c:pt idx="2">
                  <c:v>228.145602424522</c:v>
                </c:pt>
                <c:pt idx="3">
                  <c:v>301.74304342878497</c:v>
                </c:pt>
                <c:pt idx="4">
                  <c:v>390.97547093841598</c:v>
                </c:pt>
              </c:numCache>
            </c:numRef>
          </c:xVal>
          <c:yVal>
            <c:numRef>
              <c:f>onepage_all_schedules!$K$140:$K$144</c:f>
              <c:numCache>
                <c:formatCode>General</c:formatCode>
                <c:ptCount val="5"/>
                <c:pt idx="0">
                  <c:v>146.625254818109</c:v>
                </c:pt>
                <c:pt idx="1">
                  <c:v>294.20907467802499</c:v>
                </c:pt>
                <c:pt idx="2">
                  <c:v>462.24910431987502</c:v>
                </c:pt>
                <c:pt idx="3">
                  <c:v>664.83217047366804</c:v>
                </c:pt>
                <c:pt idx="4">
                  <c:v>869.49903457497703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36-44BF-B61B-321355DBE2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18943408"/>
        <c:axId val="48456715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DF</c:v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onepage_all_schedules!$K$26:$K$30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onepage_all_schedules!$C$26:$C$30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0.63266210526315791</c:v>
                      </c:pt>
                      <c:pt idx="1">
                        <c:v>0.62007999999999996</c:v>
                      </c:pt>
                      <c:pt idx="2">
                        <c:v>0.61399789473684208</c:v>
                      </c:pt>
                      <c:pt idx="3">
                        <c:v>0.60078736842105263</c:v>
                      </c:pt>
                      <c:pt idx="4">
                        <c:v>0.58869789473684209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1-0336-44BF-B61B-321355DBE2C4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Tik-Tok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onepage_all_schedules!$K$98:$K$102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onepage_all_schedules!$C$98:$C$102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0.7563042105263158</c:v>
                      </c:pt>
                      <c:pt idx="1">
                        <c:v>0.66764315789473672</c:v>
                      </c:pt>
                      <c:pt idx="2">
                        <c:v>0.60143263157894755</c:v>
                      </c:pt>
                      <c:pt idx="3">
                        <c:v>0.57299894736842116</c:v>
                      </c:pt>
                      <c:pt idx="4">
                        <c:v>0.54630736842105243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336-44BF-B61B-321355DBE2C4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RF</c:v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onepage_all_schedules!$K$62:$K$66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onepage_all_schedules!$C$62:$C$66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0.76767894736842091</c:v>
                      </c:pt>
                      <c:pt idx="1">
                        <c:v>0.68586631578947344</c:v>
                      </c:pt>
                      <c:pt idx="2">
                        <c:v>0.65064736842105253</c:v>
                      </c:pt>
                      <c:pt idx="3">
                        <c:v>0.62328736842105237</c:v>
                      </c:pt>
                      <c:pt idx="4">
                        <c:v>0.59924947368421055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336-44BF-B61B-321355DBE2C4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VarCNN</c:v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onepage_all_schedules!$K$134:$K$138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146.625254818109</c:v>
                      </c:pt>
                      <c:pt idx="1">
                        <c:v>382.13239634282002</c:v>
                      </c:pt>
                      <c:pt idx="2">
                        <c:v>615.670677684201</c:v>
                      </c:pt>
                      <c:pt idx="3">
                        <c:v>846.39722190017699</c:v>
                      </c:pt>
                      <c:pt idx="4">
                        <c:v>1082.4600654794699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onepage_all_schedules!$C$140:$C$144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0.72857894736842077</c:v>
                      </c:pt>
                      <c:pt idx="1">
                        <c:v>0.70062736842105267</c:v>
                      </c:pt>
                      <c:pt idx="2">
                        <c:v>0.65152842105263165</c:v>
                      </c:pt>
                      <c:pt idx="3">
                        <c:v>0.64711578947368409</c:v>
                      </c:pt>
                      <c:pt idx="4">
                        <c:v>0.50345578947368408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336-44BF-B61B-321355DBE2C4}"/>
                  </c:ext>
                </c:extLst>
              </c15:ser>
            </c15:filteredScatterSeries>
          </c:ext>
        </c:extLst>
      </c:scatterChart>
      <c:valAx>
        <c:axId val="1718943408"/>
        <c:scaling>
          <c:orientation val="minMax"/>
          <c:max val="4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Bandwidth Overhead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567152"/>
        <c:crosses val="autoZero"/>
        <c:crossBetween val="midCat"/>
        <c:majorUnit val="50"/>
      </c:valAx>
      <c:valAx>
        <c:axId val="484567152"/>
        <c:scaling>
          <c:orientation val="minMax"/>
          <c:max val="1100"/>
          <c:min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Latency Overhead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943408"/>
        <c:crosses val="autoZero"/>
        <c:crossBetween val="midCat"/>
        <c:majorUnit val="200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13043107087988"/>
          <c:y val="0.28296536511583636"/>
          <c:w val="0.21386956892912015"/>
          <c:h val="0.101489520695785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561974</xdr:colOff>
      <xdr:row>5</xdr:row>
      <xdr:rowOff>76199</xdr:rowOff>
    </xdr:from>
    <xdr:to>
      <xdr:col>19</xdr:col>
      <xdr:colOff>228600</xdr:colOff>
      <xdr:row>16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C918A49-83D9-3E3C-9B6D-1C70E896E1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204788</xdr:colOff>
      <xdr:row>37</xdr:row>
      <xdr:rowOff>66672</xdr:rowOff>
    </xdr:from>
    <xdr:to>
      <xdr:col>14</xdr:col>
      <xdr:colOff>723899</xdr:colOff>
      <xdr:row>49</xdr:row>
      <xdr:rowOff>109537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5F4F2FD-74FB-FFD8-6ADD-5C7CC13A01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890588</xdr:colOff>
      <xdr:row>2</xdr:row>
      <xdr:rowOff>147637</xdr:rowOff>
    </xdr:from>
    <xdr:to>
      <xdr:col>19</xdr:col>
      <xdr:colOff>23813</xdr:colOff>
      <xdr:row>15</xdr:row>
      <xdr:rowOff>114300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C129BBC-0104-1D15-6AAE-B3823D2E4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1185863</xdr:colOff>
      <xdr:row>15</xdr:row>
      <xdr:rowOff>9524</xdr:rowOff>
    </xdr:from>
    <xdr:to>
      <xdr:col>19</xdr:col>
      <xdr:colOff>214313</xdr:colOff>
      <xdr:row>26</xdr:row>
      <xdr:rowOff>9525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6C41276-0203-3FB1-FE42-1CD41373DE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409574</xdr:colOff>
      <xdr:row>1</xdr:row>
      <xdr:rowOff>90487</xdr:rowOff>
    </xdr:from>
    <xdr:to>
      <xdr:col>23</xdr:col>
      <xdr:colOff>76199</xdr:colOff>
      <xdr:row>13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FB38F51-0FCC-B293-8B72-46CC042ED6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604837</xdr:colOff>
      <xdr:row>21</xdr:row>
      <xdr:rowOff>76199</xdr:rowOff>
    </xdr:from>
    <xdr:to>
      <xdr:col>19</xdr:col>
      <xdr:colOff>128587</xdr:colOff>
      <xdr:row>32</xdr:row>
      <xdr:rowOff>80962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DDFCA05-2647-E05B-A216-FD4C5B7D1C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158750</xdr:colOff>
      <xdr:row>147</xdr:row>
      <xdr:rowOff>124733</xdr:rowOff>
    </xdr:from>
    <xdr:to>
      <xdr:col>11</xdr:col>
      <xdr:colOff>572570</xdr:colOff>
      <xdr:row>159</xdr:row>
      <xdr:rowOff>68036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A9F075-0B5B-4552-AEB2-C812FA8F1A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130972</xdr:colOff>
      <xdr:row>159</xdr:row>
      <xdr:rowOff>177760</xdr:rowOff>
    </xdr:from>
    <xdr:to>
      <xdr:col>11</xdr:col>
      <xdr:colOff>572570</xdr:colOff>
      <xdr:row>171</xdr:row>
      <xdr:rowOff>85761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91E8A7-A0D9-F402-6B58-13A3BA9435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12</xdr:col>
      <xdr:colOff>0</xdr:colOff>
      <xdr:row>148</xdr:row>
      <xdr:rowOff>0</xdr:rowOff>
    </xdr:from>
    <xdr:to>
      <xdr:col>15</xdr:col>
      <xdr:colOff>430895</xdr:colOff>
      <xdr:row>159</xdr:row>
      <xdr:rowOff>89940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CD20590-14E1-4FDD-B7C8-B706818F3F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12</xdr:col>
      <xdr:colOff>0</xdr:colOff>
      <xdr:row>160</xdr:row>
      <xdr:rowOff>0</xdr:rowOff>
    </xdr:from>
    <xdr:to>
      <xdr:col>15</xdr:col>
      <xdr:colOff>476250</xdr:colOff>
      <xdr:row>171</xdr:row>
      <xdr:rowOff>126475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184C59D-1179-41D3-BAEB-D7CBB7DD21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146537</xdr:colOff>
      <xdr:row>174</xdr:row>
      <xdr:rowOff>0</xdr:rowOff>
    </xdr:from>
    <xdr:to>
      <xdr:col>11</xdr:col>
      <xdr:colOff>560357</xdr:colOff>
      <xdr:row>185</xdr:row>
      <xdr:rowOff>123111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956C51E-51D8-4B9B-8E4C-9FF56B1EE0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0</xdr:colOff>
      <xdr:row>187</xdr:row>
      <xdr:rowOff>0</xdr:rowOff>
    </xdr:from>
    <xdr:to>
      <xdr:col>11</xdr:col>
      <xdr:colOff>441598</xdr:colOff>
      <xdr:row>198</xdr:row>
      <xdr:rowOff>86594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1264AD6-3922-4689-A645-BD5D1ECBDB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12</xdr:col>
      <xdr:colOff>0</xdr:colOff>
      <xdr:row>174</xdr:row>
      <xdr:rowOff>0</xdr:rowOff>
    </xdr:from>
    <xdr:to>
      <xdr:col>15</xdr:col>
      <xdr:colOff>431677</xdr:colOff>
      <xdr:row>185</xdr:row>
      <xdr:rowOff>86595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DD7983D-A444-4AE3-9CB5-08AFD2F105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12</xdr:col>
      <xdr:colOff>0</xdr:colOff>
      <xdr:row>187</xdr:row>
      <xdr:rowOff>0</xdr:rowOff>
    </xdr:from>
    <xdr:to>
      <xdr:col>15</xdr:col>
      <xdr:colOff>398119</xdr:colOff>
      <xdr:row>198</xdr:row>
      <xdr:rowOff>126476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E89456B-EB7F-4F1F-91DF-3252E3E1F9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9E462C2-EC99-412D-8BA2-98876A9476CC}" autoFormatId="16" applyNumberFormats="0" applyBorderFormats="0" applyFontFormats="0" applyPatternFormats="0" applyAlignmentFormats="0" applyWidthHeightFormats="0">
  <queryTableRefresh nextId="13" unboundColumnsRight="3">
    <queryTableFields count="11">
      <queryTableField id="1" name="tag" tableColumnId="1"/>
      <queryTableField id="2" name="model" tableColumnId="2"/>
      <queryTableField id="4" name="Accuracy" tableColumnId="4"/>
      <queryTableField id="5" name="Precision" tableColumnId="5"/>
      <queryTableField id="6" name="Recall" tableColumnId="6"/>
      <queryTableField id="7" name="F1-score" tableColumnId="7"/>
      <queryTableField id="8" name="TPR" tableColumnId="8"/>
      <queryTableField id="9" name="FPR" tableColumnId="9"/>
      <queryTableField id="10" dataBound="0" tableColumnId="10"/>
      <queryTableField id="11" dataBound="0" tableColumnId="3"/>
      <queryTableField id="12" dataBound="0" tableColumnId="11"/>
    </queryTableFields>
    <queryTableDeletedFields count="1">
      <deletedField name="num_page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308B5-B748-49B5-B7CC-136CBB518B8E}" name="onepage_all_schedules" displayName="onepage_all_schedules" ref="A1:K144" tableType="queryTable" totalsRowShown="0" headerRowDxfId="1" dataDxfId="0">
  <autoFilter ref="A1:K144" xr:uid="{422308B5-B748-49B5-B7CC-136CBB518B8E}"/>
  <sortState xmlns:xlrd2="http://schemas.microsoft.com/office/spreadsheetml/2017/richdata2" ref="A2:H144">
    <sortCondition ref="B1:B144"/>
  </sortState>
  <tableColumns count="11">
    <tableColumn id="1" xr3:uid="{DD536DC0-898D-42B6-BAF8-747F9CA088EB}" uniqueName="1" name="tag" queryTableFieldId="1" dataDxfId="12"/>
    <tableColumn id="2" xr3:uid="{1566CA5C-2D62-4E86-978B-273E2E660283}" uniqueName="2" name="model" queryTableFieldId="2" dataDxfId="11"/>
    <tableColumn id="4" xr3:uid="{A2033791-B8A2-4341-B31F-95E3E942D88A}" uniqueName="4" name="Accuracy" queryTableFieldId="4" dataDxfId="10"/>
    <tableColumn id="5" xr3:uid="{6E43A17B-9B85-4360-B26A-F6A49E96A255}" uniqueName="5" name="Precision" queryTableFieldId="5" dataDxfId="9"/>
    <tableColumn id="6" xr3:uid="{2039F7C6-A680-4224-9493-7C5AA1242A9D}" uniqueName="6" name="Recall" queryTableFieldId="6" dataDxfId="8"/>
    <tableColumn id="7" xr3:uid="{7D78394E-50D0-41E0-8ED8-57BFB4C4FB8A}" uniqueName="7" name="F1-score" queryTableFieldId="7" dataDxfId="7"/>
    <tableColumn id="8" xr3:uid="{A91BC703-D1AA-4A3B-85BE-7735DEBC0E27}" uniqueName="8" name="TPR" queryTableFieldId="8" dataDxfId="6"/>
    <tableColumn id="9" xr3:uid="{640665E8-EEDE-40EC-8495-26B3A129F9A9}" uniqueName="9" name="FPR" queryTableFieldId="9" dataDxfId="5"/>
    <tableColumn id="10" xr3:uid="{A2D10D1E-7C86-4406-BF84-C65ECD8241FF}" uniqueName="10" name="TPR/FPR" queryTableFieldId="10" dataDxfId="4">
      <calculatedColumnFormula>G2/H2</calculatedColumnFormula>
    </tableColumn>
    <tableColumn id="3" xr3:uid="{97CDE3AE-C4F2-4114-BCB6-BD6CC1663365}" uniqueName="3" name="BO" queryTableFieldId="11" dataDxfId="3"/>
    <tableColumn id="11" xr3:uid="{FF627ECF-E8DC-4B4E-9C04-31B9B1900BEE}" uniqueName="11" name="LO" queryTableFieldId="1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B72D0-A798-48E4-97A9-C9174187B1D9}">
  <dimension ref="A1:K186"/>
  <sheetViews>
    <sheetView tabSelected="1" topLeftCell="K149" zoomScale="95" zoomScaleNormal="190" workbookViewId="0">
      <selection activeCell="A174" sqref="A174"/>
    </sheetView>
  </sheetViews>
  <sheetFormatPr defaultRowHeight="14.25" x14ac:dyDescent="0.45"/>
  <cols>
    <col min="1" max="1" width="64.3984375" style="1" bestFit="1" customWidth="1"/>
    <col min="2" max="2" width="11.3984375" style="1" bestFit="1" customWidth="1"/>
    <col min="3" max="3" width="12.1328125" style="1" bestFit="1" customWidth="1"/>
    <col min="4" max="4" width="13.3984375" style="1" bestFit="1" customWidth="1"/>
    <col min="5" max="5" width="17.59765625" style="1" customWidth="1"/>
    <col min="6" max="6" width="16.265625" style="1" customWidth="1"/>
    <col min="7" max="7" width="15" style="1" customWidth="1"/>
    <col min="8" max="9" width="15.1328125" style="1" customWidth="1"/>
    <col min="10" max="10" width="24.3984375" style="1" bestFit="1" customWidth="1"/>
    <col min="11" max="11" width="24.1328125" style="1" bestFit="1" customWidth="1"/>
    <col min="12" max="12" width="20.86328125" style="1" bestFit="1" customWidth="1"/>
    <col min="13" max="13" width="20.1328125" style="1" bestFit="1" customWidth="1"/>
    <col min="14" max="14" width="11.265625" style="1" bestFit="1" customWidth="1"/>
    <col min="15" max="15" width="17.265625" style="1" bestFit="1" customWidth="1"/>
    <col min="16" max="16" width="16.3984375" style="1" bestFit="1" customWidth="1"/>
    <col min="17" max="16384" width="9.06640625" style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75</v>
      </c>
      <c r="J1" s="1" t="s">
        <v>76</v>
      </c>
      <c r="K1" s="1" t="s">
        <v>77</v>
      </c>
    </row>
    <row r="2" spans="1:11" x14ac:dyDescent="0.45">
      <c r="A2" s="1" t="s">
        <v>8</v>
      </c>
      <c r="B2" s="1" t="s">
        <v>9</v>
      </c>
      <c r="C2" s="1">
        <v>0.6003400000000001</v>
      </c>
      <c r="D2" s="1">
        <v>0.44773789473684239</v>
      </c>
      <c r="E2" s="1">
        <v>0.59979052631578922</v>
      </c>
      <c r="F2" s="1">
        <v>0.49297684210526299</v>
      </c>
      <c r="G2" s="1">
        <v>0.36868421052631578</v>
      </c>
      <c r="H2" s="1">
        <v>0.16910947368421053</v>
      </c>
      <c r="I2" s="1">
        <f t="shared" ref="I2:I41" si="0">G2/H2</f>
        <v>2.1801511322469405</v>
      </c>
      <c r="J2" s="1">
        <v>117.893887031212</v>
      </c>
      <c r="K2" s="1">
        <v>99.168333160118095</v>
      </c>
    </row>
    <row r="3" spans="1:11" x14ac:dyDescent="0.45">
      <c r="A3" s="1" t="s">
        <v>13</v>
      </c>
      <c r="B3" s="1" t="s">
        <v>9</v>
      </c>
      <c r="C3" s="1">
        <v>0.59241789473684225</v>
      </c>
      <c r="D3" s="1">
        <v>0.52150526315789492</v>
      </c>
      <c r="E3" s="1">
        <v>0.59245578947368416</v>
      </c>
      <c r="F3" s="1">
        <v>0.51607894736842075</v>
      </c>
      <c r="G3" s="1">
        <v>0.56012210526315787</v>
      </c>
      <c r="H3" s="1">
        <v>0.37520105263157899</v>
      </c>
      <c r="I3" s="1">
        <f t="shared" si="0"/>
        <v>1.4928585656532214</v>
      </c>
      <c r="J3" s="1">
        <v>216.185464261177</v>
      </c>
      <c r="K3" s="1">
        <v>276.30624633703798</v>
      </c>
    </row>
    <row r="4" spans="1:11" x14ac:dyDescent="0.45">
      <c r="A4" s="1" t="s">
        <v>14</v>
      </c>
      <c r="B4" s="1" t="s">
        <v>9</v>
      </c>
      <c r="C4" s="1">
        <v>0.61172842105263159</v>
      </c>
      <c r="D4" s="1">
        <v>0.58554210526315809</v>
      </c>
      <c r="E4" s="1">
        <v>0.61178736842105264</v>
      </c>
      <c r="F4" s="1">
        <v>0.5582684210526313</v>
      </c>
      <c r="G4" s="1">
        <v>0.64026315789473676</v>
      </c>
      <c r="H4" s="1">
        <v>0.41669894736842095</v>
      </c>
      <c r="I4" s="1">
        <f t="shared" si="0"/>
        <v>1.5365125396600854</v>
      </c>
      <c r="J4" s="1">
        <v>313.96283653275799</v>
      </c>
      <c r="K4" s="1">
        <v>450.33041408679702</v>
      </c>
    </row>
    <row r="5" spans="1:11" x14ac:dyDescent="0.45">
      <c r="A5" s="1" t="s">
        <v>15</v>
      </c>
      <c r="B5" s="1" t="s">
        <v>9</v>
      </c>
      <c r="C5" s="1">
        <v>0.59791263157894736</v>
      </c>
      <c r="D5" s="1">
        <v>0.60412526315789461</v>
      </c>
      <c r="E5" s="1">
        <v>0.59788736842105261</v>
      </c>
      <c r="F5" s="1">
        <v>0.55306000000000033</v>
      </c>
      <c r="G5" s="1">
        <v>0.56611473684210534</v>
      </c>
      <c r="H5" s="1">
        <v>0.37034631578947358</v>
      </c>
      <c r="I5" s="1">
        <f t="shared" si="0"/>
        <v>1.5286090686100355</v>
      </c>
      <c r="J5" s="1">
        <v>412.92246253311401</v>
      </c>
      <c r="K5" s="1">
        <v>628.31790043228898</v>
      </c>
    </row>
    <row r="6" spans="1:11" x14ac:dyDescent="0.45">
      <c r="A6" s="1" t="s">
        <v>16</v>
      </c>
      <c r="B6" s="1" t="s">
        <v>9</v>
      </c>
      <c r="C6" s="1">
        <v>0.59368210526315801</v>
      </c>
      <c r="D6" s="1">
        <v>0.6237136842105262</v>
      </c>
      <c r="E6" s="1">
        <v>0.59390105263157889</v>
      </c>
      <c r="F6" s="1">
        <v>0.55147789473684217</v>
      </c>
      <c r="G6" s="1">
        <v>0.62624526315789486</v>
      </c>
      <c r="H6" s="1">
        <v>0.43844631578947363</v>
      </c>
      <c r="I6" s="1">
        <f t="shared" si="0"/>
        <v>1.4283282595960862</v>
      </c>
      <c r="J6" s="1">
        <v>510.04199588004798</v>
      </c>
      <c r="K6" s="1">
        <v>800.39880623301497</v>
      </c>
    </row>
    <row r="8" spans="1:11" x14ac:dyDescent="0.45">
      <c r="A8" s="1" t="s">
        <v>8</v>
      </c>
      <c r="B8" s="1" t="s">
        <v>9</v>
      </c>
      <c r="C8" s="1">
        <v>0.6003400000000001</v>
      </c>
      <c r="D8" s="1">
        <v>0.44773789473684239</v>
      </c>
      <c r="E8" s="1">
        <v>0.59979052631578922</v>
      </c>
      <c r="F8" s="1">
        <v>0.49297684210526299</v>
      </c>
      <c r="G8" s="1">
        <v>0.36868421052631578</v>
      </c>
      <c r="H8" s="1">
        <v>0.16910947368421053</v>
      </c>
      <c r="I8" s="1">
        <f t="shared" ref="I8" si="1">G8/H8</f>
        <v>2.1801511322469405</v>
      </c>
      <c r="J8" s="1">
        <v>117.893887031212</v>
      </c>
      <c r="K8" s="1">
        <v>99.168333160118095</v>
      </c>
    </row>
    <row r="9" spans="1:11" x14ac:dyDescent="0.45">
      <c r="A9" s="1" t="s">
        <v>17</v>
      </c>
      <c r="B9" s="1" t="s">
        <v>9</v>
      </c>
      <c r="C9" s="1">
        <v>0.67680736842105282</v>
      </c>
      <c r="D9" s="1">
        <v>0.63370947368421027</v>
      </c>
      <c r="E9" s="1">
        <v>0.67717157894736857</v>
      </c>
      <c r="F9" s="1">
        <v>0.62433789473684209</v>
      </c>
      <c r="G9" s="1">
        <v>0.80634631578947369</v>
      </c>
      <c r="H9" s="1">
        <v>0.45198947368421066</v>
      </c>
      <c r="I9" s="1">
        <f t="shared" si="0"/>
        <v>1.7839935722769504</v>
      </c>
      <c r="J9" s="1">
        <v>172.73236077436599</v>
      </c>
      <c r="K9" s="1">
        <v>199.04162237035101</v>
      </c>
    </row>
    <row r="10" spans="1:11" x14ac:dyDescent="0.45">
      <c r="A10" s="1" t="s">
        <v>18</v>
      </c>
      <c r="B10" s="1" t="s">
        <v>9</v>
      </c>
      <c r="C10" s="1">
        <v>0.68866421052631566</v>
      </c>
      <c r="D10" s="1">
        <v>0.73255789473684263</v>
      </c>
      <c r="E10" s="1">
        <v>0.68922000000000028</v>
      </c>
      <c r="F10" s="1">
        <v>0.66614315789473688</v>
      </c>
      <c r="G10" s="1">
        <v>0.89187473684210505</v>
      </c>
      <c r="H10" s="1">
        <v>0.51343368421052615</v>
      </c>
      <c r="I10" s="1">
        <f t="shared" si="0"/>
        <v>1.7370787392211777</v>
      </c>
      <c r="J10" s="1">
        <v>244.526603795055</v>
      </c>
      <c r="K10" s="1">
        <v>341.04443392358201</v>
      </c>
    </row>
    <row r="11" spans="1:11" x14ac:dyDescent="0.45">
      <c r="A11" s="1" t="s">
        <v>19</v>
      </c>
      <c r="B11" s="1" t="s">
        <v>9</v>
      </c>
      <c r="C11" s="1">
        <v>0.64410526315789463</v>
      </c>
      <c r="D11" s="1">
        <v>0.71070315789473659</v>
      </c>
      <c r="E11" s="1">
        <v>0.6446905263157896</v>
      </c>
      <c r="F11" s="1">
        <v>0.60332210526315788</v>
      </c>
      <c r="G11" s="1">
        <v>0.84525894736842133</v>
      </c>
      <c r="H11" s="1">
        <v>0.55588421052631565</v>
      </c>
      <c r="I11" s="1">
        <f t="shared" si="0"/>
        <v>1.52056657009222</v>
      </c>
      <c r="J11" s="1">
        <v>314.18513271964099</v>
      </c>
      <c r="K11" s="1">
        <v>474.24357210593502</v>
      </c>
    </row>
    <row r="12" spans="1:11" x14ac:dyDescent="0.45">
      <c r="A12" s="1" t="s">
        <v>20</v>
      </c>
      <c r="B12" s="1" t="s">
        <v>9</v>
      </c>
      <c r="C12" s="1">
        <v>0.51260930232558122</v>
      </c>
      <c r="D12" s="1">
        <v>0.29248255813953478</v>
      </c>
      <c r="E12" s="1">
        <v>0.51325348837209295</v>
      </c>
      <c r="F12" s="1">
        <v>0.35446279069767456</v>
      </c>
      <c r="G12" s="1">
        <v>0.51705348837209297</v>
      </c>
      <c r="H12" s="1">
        <v>0.49054302325581389</v>
      </c>
      <c r="I12" s="1">
        <f t="shared" si="0"/>
        <v>1.0540430988913567</v>
      </c>
      <c r="J12" s="1">
        <v>394.10594886872099</v>
      </c>
      <c r="K12" s="1">
        <v>627.263880440908</v>
      </c>
    </row>
    <row r="14" spans="1:11" x14ac:dyDescent="0.45">
      <c r="A14" s="1" t="s">
        <v>21</v>
      </c>
      <c r="B14" s="1" t="s">
        <v>9</v>
      </c>
      <c r="C14" s="1">
        <v>0.63910947368421078</v>
      </c>
      <c r="D14" s="1">
        <v>0.53019473684210572</v>
      </c>
      <c r="E14" s="1">
        <v>0.63867894736842101</v>
      </c>
      <c r="F14" s="1">
        <v>0.54843999999999993</v>
      </c>
      <c r="G14" s="1">
        <v>0.47325368421052622</v>
      </c>
      <c r="H14" s="1">
        <v>0.19589894736842106</v>
      </c>
      <c r="I14" s="1">
        <f t="shared" si="0"/>
        <v>2.415805141211365</v>
      </c>
      <c r="J14" s="1">
        <v>94.1388245720171</v>
      </c>
      <c r="K14" s="1">
        <v>201.754865629259</v>
      </c>
    </row>
    <row r="15" spans="1:11" x14ac:dyDescent="0.45">
      <c r="A15" s="1" t="s">
        <v>22</v>
      </c>
      <c r="B15" s="1" t="s">
        <v>9</v>
      </c>
      <c r="C15" s="1">
        <v>0.58777789473684217</v>
      </c>
      <c r="D15" s="1">
        <v>0.51503684210526335</v>
      </c>
      <c r="E15" s="1">
        <v>0.58756736842105262</v>
      </c>
      <c r="F15" s="1">
        <v>0.50205894736842116</v>
      </c>
      <c r="G15" s="1">
        <v>0.52357473684210531</v>
      </c>
      <c r="H15" s="1">
        <v>0.34844105263157904</v>
      </c>
      <c r="I15" s="1">
        <f t="shared" si="0"/>
        <v>1.5026206954887784</v>
      </c>
      <c r="J15" s="1">
        <v>192.650841653274</v>
      </c>
      <c r="K15" s="1">
        <v>497.89210202573997</v>
      </c>
    </row>
    <row r="16" spans="1:11" x14ac:dyDescent="0.45">
      <c r="A16" s="1" t="s">
        <v>23</v>
      </c>
      <c r="B16" s="1" t="s">
        <v>9</v>
      </c>
      <c r="C16" s="1">
        <v>0.61005894736842115</v>
      </c>
      <c r="D16" s="1">
        <v>0.58261263157894738</v>
      </c>
      <c r="E16" s="1">
        <v>0.61014631578947365</v>
      </c>
      <c r="F16" s="1">
        <v>0.5538578947368421</v>
      </c>
      <c r="G16" s="1">
        <v>0.6322178947368422</v>
      </c>
      <c r="H16" s="1">
        <v>0.41192631578947364</v>
      </c>
      <c r="I16" s="1">
        <f t="shared" si="0"/>
        <v>1.5347839419415843</v>
      </c>
      <c r="J16" s="1">
        <v>289.93744520329301</v>
      </c>
      <c r="K16" s="1">
        <v>787.73530911109299</v>
      </c>
    </row>
    <row r="17" spans="1:11" x14ac:dyDescent="0.45">
      <c r="A17" s="1" t="s">
        <v>24</v>
      </c>
      <c r="B17" s="1" t="s">
        <v>9</v>
      </c>
      <c r="C17" s="1">
        <v>0.6088778947368424</v>
      </c>
      <c r="D17" s="1">
        <v>0.61991578947368409</v>
      </c>
      <c r="E17" s="1">
        <v>0.60896315789473676</v>
      </c>
      <c r="F17" s="1">
        <v>0.56847052631578943</v>
      </c>
      <c r="G17" s="1">
        <v>0.64727263157894732</v>
      </c>
      <c r="H17" s="1">
        <v>0.42935789473684227</v>
      </c>
      <c r="I17" s="1">
        <f t="shared" si="0"/>
        <v>1.5075363455833675</v>
      </c>
      <c r="J17" s="1">
        <v>389.35465792654298</v>
      </c>
      <c r="K17" s="1">
        <v>1083.8441501149</v>
      </c>
    </row>
    <row r="18" spans="1:11" x14ac:dyDescent="0.45">
      <c r="A18" s="1" t="s">
        <v>25</v>
      </c>
      <c r="B18" s="1" t="s">
        <v>9</v>
      </c>
      <c r="C18" s="1">
        <v>0.5811252631578947</v>
      </c>
      <c r="D18" s="1">
        <v>0.59653473684210501</v>
      </c>
      <c r="E18" s="1">
        <v>0.58127368421052616</v>
      </c>
      <c r="F18" s="1">
        <v>0.53105473684210525</v>
      </c>
      <c r="G18" s="1">
        <v>0.61874105263157897</v>
      </c>
      <c r="H18" s="1">
        <v>0.45619684210526312</v>
      </c>
      <c r="I18" s="1">
        <f t="shared" si="0"/>
        <v>1.356302796345991</v>
      </c>
      <c r="J18" s="1">
        <v>485.29565021588201</v>
      </c>
      <c r="K18" s="1">
        <v>1365.2073065352599</v>
      </c>
    </row>
    <row r="20" spans="1:11" x14ac:dyDescent="0.45">
      <c r="A20" s="1" t="s">
        <v>21</v>
      </c>
      <c r="B20" s="1" t="s">
        <v>9</v>
      </c>
      <c r="C20" s="1">
        <v>0.63910947368421078</v>
      </c>
      <c r="D20" s="1">
        <v>0.53019473684210572</v>
      </c>
      <c r="E20" s="1">
        <v>0.63867894736842101</v>
      </c>
      <c r="F20" s="1">
        <v>0.54843999999999993</v>
      </c>
      <c r="G20" s="1">
        <v>0.47325368421052622</v>
      </c>
      <c r="H20" s="1">
        <v>0.19589894736842106</v>
      </c>
      <c r="I20" s="1">
        <f t="shared" ref="I20" si="2">G20/H20</f>
        <v>2.415805141211365</v>
      </c>
      <c r="J20" s="1">
        <v>94.1388245720171</v>
      </c>
      <c r="K20" s="1">
        <v>201.754865629259</v>
      </c>
    </row>
    <row r="21" spans="1:11" x14ac:dyDescent="0.45">
      <c r="A21" s="1" t="s">
        <v>26</v>
      </c>
      <c r="B21" s="1" t="s">
        <v>9</v>
      </c>
      <c r="C21" s="1">
        <v>0.6846894736842104</v>
      </c>
      <c r="D21" s="1">
        <v>0.65327157894736831</v>
      </c>
      <c r="E21" s="1">
        <v>0.68513052631578952</v>
      </c>
      <c r="F21" s="1">
        <v>0.63391052631578915</v>
      </c>
      <c r="G21" s="1">
        <v>0.8473115789473683</v>
      </c>
      <c r="H21" s="1">
        <v>0.47704421052631568</v>
      </c>
      <c r="I21" s="1">
        <f t="shared" si="0"/>
        <v>1.7761699235644055</v>
      </c>
      <c r="J21" s="1">
        <v>154.00379100854099</v>
      </c>
      <c r="K21" s="1">
        <v>386.26049297494001</v>
      </c>
    </row>
    <row r="22" spans="1:11" x14ac:dyDescent="0.45">
      <c r="A22" s="1" t="s">
        <v>27</v>
      </c>
      <c r="B22" s="1" t="s">
        <v>9</v>
      </c>
      <c r="C22" s="1">
        <v>0.6895</v>
      </c>
      <c r="D22" s="1">
        <v>0.74370736842105256</v>
      </c>
      <c r="E22" s="1">
        <v>0.69002631578947393</v>
      </c>
      <c r="F22" s="1">
        <v>0.66583894736842086</v>
      </c>
      <c r="G22" s="1">
        <v>0.89789157894736893</v>
      </c>
      <c r="H22" s="1">
        <v>0.51782947368421051</v>
      </c>
      <c r="I22" s="1">
        <f t="shared" si="0"/>
        <v>1.7339522460147427</v>
      </c>
      <c r="J22" s="1">
        <v>220.24573428003899</v>
      </c>
      <c r="K22" s="1">
        <v>602.29644814342998</v>
      </c>
    </row>
    <row r="23" spans="1:11" x14ac:dyDescent="0.45">
      <c r="A23" s="1" t="s">
        <v>28</v>
      </c>
      <c r="B23" s="1" t="s">
        <v>9</v>
      </c>
      <c r="C23" s="1">
        <v>0.64055368421052639</v>
      </c>
      <c r="D23" s="1">
        <v>0.72537368421052673</v>
      </c>
      <c r="E23" s="1">
        <v>0.64115684210526336</v>
      </c>
      <c r="F23" s="1">
        <v>0.59566105263157887</v>
      </c>
      <c r="G23" s="1">
        <v>0.86204210526315805</v>
      </c>
      <c r="H23" s="1">
        <v>0.57972000000000012</v>
      </c>
      <c r="I23" s="1">
        <f t="shared" si="0"/>
        <v>1.4869973526239528</v>
      </c>
      <c r="J23" s="1">
        <v>299.68831197278899</v>
      </c>
      <c r="K23" s="1">
        <v>855.32524165823702</v>
      </c>
    </row>
    <row r="24" spans="1:11" x14ac:dyDescent="0.45">
      <c r="A24" s="1" t="s">
        <v>29</v>
      </c>
      <c r="B24" s="1" t="s">
        <v>9</v>
      </c>
      <c r="C24" s="1">
        <v>0.5857515789473684</v>
      </c>
      <c r="D24" s="1">
        <v>0.44077473684210516</v>
      </c>
      <c r="E24" s="1">
        <v>0.58634947368421053</v>
      </c>
      <c r="F24" s="1">
        <v>0.4769178947368421</v>
      </c>
      <c r="G24" s="1">
        <v>0.63889789473684222</v>
      </c>
      <c r="H24" s="1">
        <v>0.46619578947368417</v>
      </c>
      <c r="I24" s="1">
        <f t="shared" si="0"/>
        <v>1.3704497319852065</v>
      </c>
      <c r="J24" s="1">
        <v>387.39808021485902</v>
      </c>
      <c r="K24" s="1">
        <v>1111.7174057612999</v>
      </c>
    </row>
    <row r="26" spans="1:11" x14ac:dyDescent="0.45">
      <c r="A26" s="1" t="s">
        <v>30</v>
      </c>
      <c r="B26" s="1" t="s">
        <v>9</v>
      </c>
      <c r="C26" s="1">
        <v>0.63266210526315791</v>
      </c>
      <c r="D26" s="1">
        <v>0.52164736842105264</v>
      </c>
      <c r="E26" s="1">
        <v>0.63222105263157857</v>
      </c>
      <c r="F26" s="1">
        <v>0.64356631578947399</v>
      </c>
      <c r="G26" s="1">
        <v>0.44640105263157892</v>
      </c>
      <c r="H26" s="1">
        <v>0.18196105263157891</v>
      </c>
      <c r="I26" s="1">
        <f t="shared" si="0"/>
        <v>2.4532780294221439</v>
      </c>
      <c r="J26" s="1">
        <v>101.50360398273</v>
      </c>
      <c r="K26" s="1">
        <v>146.625254818109</v>
      </c>
    </row>
    <row r="27" spans="1:11" x14ac:dyDescent="0.45">
      <c r="A27" s="1" t="s">
        <v>31</v>
      </c>
      <c r="B27" s="1" t="s">
        <v>9</v>
      </c>
      <c r="C27" s="1">
        <v>0.62007999999999996</v>
      </c>
      <c r="D27" s="1">
        <v>0.50526736842105258</v>
      </c>
      <c r="E27" s="1">
        <v>0.58998421052631567</v>
      </c>
      <c r="F27" s="1">
        <v>0.606037894736842</v>
      </c>
      <c r="G27" s="1">
        <v>0.54788947368421037</v>
      </c>
      <c r="H27" s="1">
        <v>0.34603210526315997</v>
      </c>
      <c r="I27" s="1">
        <f t="shared" si="0"/>
        <v>1.5833486701112209</v>
      </c>
      <c r="J27" s="1">
        <v>199.175629209589</v>
      </c>
      <c r="K27" s="1">
        <v>382.13239634282002</v>
      </c>
    </row>
    <row r="28" spans="1:11" x14ac:dyDescent="0.45">
      <c r="A28" s="1" t="s">
        <v>32</v>
      </c>
      <c r="B28" s="1" t="s">
        <v>9</v>
      </c>
      <c r="C28" s="1">
        <v>0.61399789473684208</v>
      </c>
      <c r="D28" s="1">
        <v>0.60027473684210508</v>
      </c>
      <c r="E28" s="1">
        <v>0.61405789473684202</v>
      </c>
      <c r="F28" s="1">
        <v>0.5688410526315788</v>
      </c>
      <c r="G28" s="1">
        <v>0.64503894736842093</v>
      </c>
      <c r="H28" s="1">
        <v>0.41191789473684198</v>
      </c>
      <c r="I28" s="1">
        <f t="shared" si="0"/>
        <v>1.5659405809026838</v>
      </c>
      <c r="J28" s="1">
        <v>297.269970783134</v>
      </c>
      <c r="K28" s="1">
        <v>615.670677684201</v>
      </c>
    </row>
    <row r="29" spans="1:11" x14ac:dyDescent="0.45">
      <c r="A29" s="1" t="s">
        <v>33</v>
      </c>
      <c r="B29" s="1" t="s">
        <v>9</v>
      </c>
      <c r="C29" s="1">
        <v>0.60078736842105263</v>
      </c>
      <c r="D29" s="1">
        <v>0.59638842105263157</v>
      </c>
      <c r="E29" s="1">
        <v>0.60078526315789471</v>
      </c>
      <c r="F29" s="1">
        <v>0.55292736842105283</v>
      </c>
      <c r="G29" s="1">
        <v>0.55784842105263155</v>
      </c>
      <c r="H29" s="1">
        <v>0.35627894736842103</v>
      </c>
      <c r="I29" s="1">
        <f t="shared" si="0"/>
        <v>1.5657630774230717</v>
      </c>
      <c r="J29" s="1">
        <v>395.07866871779299</v>
      </c>
      <c r="K29" s="1">
        <v>846.39722190017699</v>
      </c>
    </row>
    <row r="30" spans="1:11" x14ac:dyDescent="0.45">
      <c r="A30" s="1" t="s">
        <v>34</v>
      </c>
      <c r="B30" s="1" t="s">
        <v>9</v>
      </c>
      <c r="C30" s="1">
        <v>0.58869789473684209</v>
      </c>
      <c r="D30" s="1">
        <v>0.60755789473684196</v>
      </c>
      <c r="E30" s="1">
        <v>0.58868000000000009</v>
      </c>
      <c r="F30" s="1">
        <v>0.54466315789473685</v>
      </c>
      <c r="G30" s="1">
        <v>0.5772610526315789</v>
      </c>
      <c r="H30" s="1">
        <v>0.39989473684210519</v>
      </c>
      <c r="I30" s="1">
        <f t="shared" si="0"/>
        <v>1.4435325085548829</v>
      </c>
      <c r="J30" s="1">
        <v>493.81878303465197</v>
      </c>
      <c r="K30" s="1">
        <v>1082.4600654794699</v>
      </c>
    </row>
    <row r="32" spans="1:11" x14ac:dyDescent="0.45">
      <c r="A32" s="1" t="s">
        <v>30</v>
      </c>
      <c r="B32" s="1" t="s">
        <v>9</v>
      </c>
      <c r="C32" s="1">
        <v>0.68266210526315796</v>
      </c>
      <c r="D32" s="1">
        <v>0.52164736842105264</v>
      </c>
      <c r="E32" s="1">
        <v>0.63222105263157857</v>
      </c>
      <c r="F32" s="1">
        <v>0.64356631578947399</v>
      </c>
      <c r="G32" s="1">
        <v>0.44640105263157892</v>
      </c>
      <c r="H32" s="1">
        <v>0.18196105263157891</v>
      </c>
      <c r="I32" s="1">
        <f t="shared" ref="I32" si="3">G32/H32</f>
        <v>2.4532780294221439</v>
      </c>
      <c r="J32" s="1">
        <v>101.50360398273</v>
      </c>
      <c r="K32" s="1">
        <v>146.625254818109</v>
      </c>
    </row>
    <row r="33" spans="1:11" x14ac:dyDescent="0.45">
      <c r="A33" s="1" t="s">
        <v>35</v>
      </c>
      <c r="B33" s="1" t="s">
        <v>9</v>
      </c>
      <c r="C33" s="1">
        <v>0.67510947368421037</v>
      </c>
      <c r="D33" s="1">
        <v>0.62999157894736835</v>
      </c>
      <c r="E33" s="1">
        <v>0.67554105263157871</v>
      </c>
      <c r="F33" s="1">
        <v>0.61883999999999972</v>
      </c>
      <c r="G33" s="1">
        <v>0.83127789473684199</v>
      </c>
      <c r="H33" s="1">
        <v>0.48019473684210517</v>
      </c>
      <c r="I33" s="1">
        <f t="shared" si="0"/>
        <v>1.7311266262590836</v>
      </c>
      <c r="J33" s="1">
        <v>158.75624216046199</v>
      </c>
      <c r="K33" s="1">
        <v>294.20907467802499</v>
      </c>
    </row>
    <row r="34" spans="1:11" x14ac:dyDescent="0.45">
      <c r="A34" s="1" t="s">
        <v>36</v>
      </c>
      <c r="B34" s="1" t="s">
        <v>9</v>
      </c>
      <c r="C34" s="1">
        <v>0.65039894736842097</v>
      </c>
      <c r="D34" s="1">
        <v>0.72112631578947373</v>
      </c>
      <c r="E34" s="1">
        <v>0.68094210526315779</v>
      </c>
      <c r="F34" s="1">
        <v>0.550904210526316</v>
      </c>
      <c r="G34" s="1">
        <v>0.90056736842105312</v>
      </c>
      <c r="H34" s="1">
        <v>0.53868210526315807</v>
      </c>
      <c r="I34" s="1">
        <f t="shared" si="0"/>
        <v>1.6717974471810348</v>
      </c>
      <c r="J34" s="1">
        <v>228.145602424522</v>
      </c>
      <c r="K34" s="1">
        <v>462.24910431987502</v>
      </c>
    </row>
    <row r="35" spans="1:11" x14ac:dyDescent="0.45">
      <c r="A35" s="1" t="s">
        <v>37</v>
      </c>
      <c r="B35" s="1" t="s">
        <v>9</v>
      </c>
      <c r="C35" s="1">
        <v>0.63936210526315795</v>
      </c>
      <c r="D35" s="1">
        <v>0.70369052631578977</v>
      </c>
      <c r="E35" s="1">
        <v>0.63987368421052648</v>
      </c>
      <c r="F35" s="1">
        <v>0.49092315789473701</v>
      </c>
      <c r="G35" s="1">
        <v>0.82231684210526335</v>
      </c>
      <c r="H35" s="1">
        <v>0.54256842105263159</v>
      </c>
      <c r="I35" s="1">
        <f t="shared" si="0"/>
        <v>1.515600263852243</v>
      </c>
      <c r="J35" s="1">
        <v>301.74304342878497</v>
      </c>
      <c r="K35" s="1">
        <v>664.83217047366804</v>
      </c>
    </row>
    <row r="36" spans="1:11" x14ac:dyDescent="0.45">
      <c r="A36" s="1" t="s">
        <v>38</v>
      </c>
      <c r="B36" s="1" t="s">
        <v>9</v>
      </c>
      <c r="C36" s="1">
        <v>0.55357894736842084</v>
      </c>
      <c r="D36" s="1">
        <v>0.38685368421052635</v>
      </c>
      <c r="E36" s="1">
        <v>0.55430736842105255</v>
      </c>
      <c r="F36" s="1">
        <v>0.42431052631578925</v>
      </c>
      <c r="G36" s="1">
        <v>0.63316631578947369</v>
      </c>
      <c r="H36" s="1">
        <v>0.52455368421052639</v>
      </c>
      <c r="I36" s="1">
        <f t="shared" si="0"/>
        <v>1.2070572275979978</v>
      </c>
      <c r="J36" s="1">
        <v>390.97547093841598</v>
      </c>
      <c r="K36" s="1">
        <v>869.49903457497703</v>
      </c>
    </row>
    <row r="38" spans="1:11" x14ac:dyDescent="0.45">
      <c r="A38" s="1" t="s">
        <v>8</v>
      </c>
      <c r="B38" s="1" t="s">
        <v>12</v>
      </c>
      <c r="C38" s="1">
        <v>0.76119052631578921</v>
      </c>
      <c r="D38" s="1">
        <v>0.78222210526315805</v>
      </c>
      <c r="E38" s="1">
        <v>0.76150421052631545</v>
      </c>
      <c r="F38" s="1">
        <v>0.74303999999999915</v>
      </c>
      <c r="G38" s="1">
        <v>0.8604084210526316</v>
      </c>
      <c r="H38" s="1">
        <v>0.33737894736842106</v>
      </c>
      <c r="I38" s="1">
        <f t="shared" si="0"/>
        <v>2.5502730024024212</v>
      </c>
      <c r="J38" s="1">
        <v>117.893887031212</v>
      </c>
      <c r="K38" s="1">
        <v>99.168333160118095</v>
      </c>
    </row>
    <row r="39" spans="1:11" x14ac:dyDescent="0.45">
      <c r="A39" s="1" t="s">
        <v>13</v>
      </c>
      <c r="B39" s="1" t="s">
        <v>12</v>
      </c>
      <c r="C39" s="1">
        <v>0.69107052631578936</v>
      </c>
      <c r="D39" s="1">
        <v>0.71754421052631567</v>
      </c>
      <c r="E39" s="1">
        <v>0.69146526315789458</v>
      </c>
      <c r="F39" s="1">
        <v>0.68166210526315785</v>
      </c>
      <c r="G39" s="1">
        <v>0.82605157894736858</v>
      </c>
      <c r="H39" s="1">
        <v>0.44312210526315776</v>
      </c>
      <c r="I39" s="1">
        <f t="shared" si="0"/>
        <v>1.8641624264192367</v>
      </c>
      <c r="J39" s="1">
        <v>216.185464261177</v>
      </c>
      <c r="K39" s="1">
        <v>276.30624633703798</v>
      </c>
    </row>
    <row r="40" spans="1:11" x14ac:dyDescent="0.45">
      <c r="A40" s="1" t="s">
        <v>14</v>
      </c>
      <c r="B40" s="1" t="s">
        <v>12</v>
      </c>
      <c r="C40" s="1">
        <v>0.64241052631578932</v>
      </c>
      <c r="D40" s="1">
        <v>0.67332736842105256</v>
      </c>
      <c r="E40" s="1">
        <v>0.64273263157894744</v>
      </c>
      <c r="F40" s="1">
        <v>0.63014421052631597</v>
      </c>
      <c r="G40" s="1">
        <v>0.76146842105263179</v>
      </c>
      <c r="H40" s="1">
        <v>0.47600000000000015</v>
      </c>
      <c r="I40" s="1">
        <f t="shared" si="0"/>
        <v>1.5997235736399822</v>
      </c>
      <c r="J40" s="1">
        <v>313.96283653275799</v>
      </c>
      <c r="K40" s="1">
        <v>450.33041408679702</v>
      </c>
    </row>
    <row r="41" spans="1:11" x14ac:dyDescent="0.45">
      <c r="A41" s="1" t="s">
        <v>15</v>
      </c>
      <c r="B41" s="1" t="s">
        <v>12</v>
      </c>
      <c r="C41" s="1">
        <v>0.61577368421052636</v>
      </c>
      <c r="D41" s="1">
        <v>0.65963578947368429</v>
      </c>
      <c r="E41" s="1">
        <v>0.61606421052631577</v>
      </c>
      <c r="F41" s="1">
        <v>0.59227789473684189</v>
      </c>
      <c r="G41" s="1">
        <v>0.72619368421052655</v>
      </c>
      <c r="H41" s="1">
        <v>0.4940673684210527</v>
      </c>
      <c r="I41" s="1">
        <f t="shared" si="0"/>
        <v>1.4698272556054579</v>
      </c>
      <c r="J41" s="1">
        <v>412.92246253311401</v>
      </c>
      <c r="K41" s="1">
        <v>628.31790043228898</v>
      </c>
    </row>
    <row r="42" spans="1:11" x14ac:dyDescent="0.45">
      <c r="A42" s="1" t="s">
        <v>16</v>
      </c>
      <c r="B42" s="1" t="s">
        <v>12</v>
      </c>
      <c r="C42" s="1">
        <v>0.59344736842105295</v>
      </c>
      <c r="D42" s="1">
        <v>0.64543157894736836</v>
      </c>
      <c r="E42" s="1">
        <v>0.59370736842105276</v>
      </c>
      <c r="F42" s="1">
        <v>0.56160736842105252</v>
      </c>
      <c r="G42" s="1">
        <v>0.69734105263157908</v>
      </c>
      <c r="H42" s="1">
        <v>0.50991999999999982</v>
      </c>
      <c r="I42" s="1">
        <f t="shared" ref="I42:I86" si="4">G42/H42</f>
        <v>1.3675499149505399</v>
      </c>
      <c r="J42" s="1">
        <v>510.04199588004798</v>
      </c>
      <c r="K42" s="1">
        <v>800.39880623301497</v>
      </c>
    </row>
    <row r="44" spans="1:11" x14ac:dyDescent="0.45">
      <c r="A44" s="1" t="s">
        <v>8</v>
      </c>
      <c r="B44" s="1" t="s">
        <v>12</v>
      </c>
      <c r="C44" s="1">
        <v>0.76119052631578921</v>
      </c>
      <c r="D44" s="1">
        <v>0.78222210526315805</v>
      </c>
      <c r="E44" s="1">
        <v>0.76150421052631545</v>
      </c>
      <c r="F44" s="1">
        <v>0.74303999999999915</v>
      </c>
      <c r="G44" s="1">
        <v>0.8604084210526316</v>
      </c>
      <c r="H44" s="1">
        <v>0.33737894736842106</v>
      </c>
      <c r="I44" s="1">
        <f t="shared" ref="I44" si="5">G44/H44</f>
        <v>2.5502730024024212</v>
      </c>
      <c r="J44" s="1">
        <v>117.893887031212</v>
      </c>
      <c r="K44" s="1">
        <v>99.168333160118095</v>
      </c>
    </row>
    <row r="45" spans="1:11" x14ac:dyDescent="0.45">
      <c r="A45" s="1" t="s">
        <v>17</v>
      </c>
      <c r="B45" s="1" t="s">
        <v>12</v>
      </c>
      <c r="C45" s="1">
        <v>0.73537578947368387</v>
      </c>
      <c r="D45" s="1">
        <v>0.75087578947368439</v>
      </c>
      <c r="E45" s="1">
        <v>0.73585157894736819</v>
      </c>
      <c r="F45" s="1">
        <v>0.71168526315789449</v>
      </c>
      <c r="G45" s="1">
        <v>0.89960842105263161</v>
      </c>
      <c r="H45" s="1">
        <v>0.42789684210526335</v>
      </c>
      <c r="I45" s="1">
        <f t="shared" si="4"/>
        <v>2.1023955601694446</v>
      </c>
      <c r="J45" s="1">
        <v>172.73236077436599</v>
      </c>
      <c r="K45" s="1">
        <v>199.04162237035101</v>
      </c>
    </row>
    <row r="46" spans="1:11" x14ac:dyDescent="0.45">
      <c r="A46" s="1" t="s">
        <v>18</v>
      </c>
      <c r="B46" s="1" t="s">
        <v>12</v>
      </c>
      <c r="C46" s="1">
        <v>0.69990526315789459</v>
      </c>
      <c r="D46" s="1">
        <v>0.7574315789473689</v>
      </c>
      <c r="E46" s="1">
        <v>0.70048210526315824</v>
      </c>
      <c r="F46" s="1">
        <v>0.68371368421052614</v>
      </c>
      <c r="G46" s="1">
        <v>0.91264631578947342</v>
      </c>
      <c r="H46" s="1">
        <v>0.5116799999999998</v>
      </c>
      <c r="I46" s="1">
        <f t="shared" si="4"/>
        <v>1.7836271024653567</v>
      </c>
      <c r="J46" s="1">
        <v>244.526603795055</v>
      </c>
      <c r="K46" s="1">
        <v>341.04443392358201</v>
      </c>
    </row>
    <row r="47" spans="1:11" x14ac:dyDescent="0.45">
      <c r="A47" s="1" t="s">
        <v>19</v>
      </c>
      <c r="B47" s="1" t="s">
        <v>12</v>
      </c>
      <c r="C47" s="1">
        <v>0.64664210526315791</v>
      </c>
      <c r="D47" s="1">
        <v>0.71707894736842093</v>
      </c>
      <c r="E47" s="1">
        <v>0.64725578947368434</v>
      </c>
      <c r="F47" s="1">
        <v>0.60481894736842112</v>
      </c>
      <c r="G47" s="1">
        <v>0.85635263157894759</v>
      </c>
      <c r="H47" s="1">
        <v>0.56184947368421034</v>
      </c>
      <c r="I47" s="1">
        <f t="shared" si="4"/>
        <v>1.5241673645497866</v>
      </c>
      <c r="J47" s="1">
        <v>314.18513271964099</v>
      </c>
      <c r="K47" s="1">
        <v>474.24357210593502</v>
      </c>
    </row>
    <row r="48" spans="1:11" x14ac:dyDescent="0.45">
      <c r="A48" s="1" t="s">
        <v>20</v>
      </c>
      <c r="B48" s="1" t="s">
        <v>12</v>
      </c>
      <c r="C48" s="1">
        <v>0.49966279069767439</v>
      </c>
      <c r="D48" s="1">
        <v>0.24983372093023254</v>
      </c>
      <c r="E48" s="1">
        <v>0.5</v>
      </c>
      <c r="F48" s="1">
        <v>0.33315000000000011</v>
      </c>
      <c r="G48" s="1">
        <v>0.37209302325581395</v>
      </c>
      <c r="H48" s="1">
        <v>0.37209302325581395</v>
      </c>
      <c r="I48" s="1">
        <f>G48/H48</f>
        <v>1</v>
      </c>
      <c r="J48" s="1">
        <v>394.10594886872099</v>
      </c>
      <c r="K48" s="1">
        <v>627.263880440908</v>
      </c>
    </row>
    <row r="50" spans="1:11" x14ac:dyDescent="0.45">
      <c r="A50" s="1" t="s">
        <v>21</v>
      </c>
      <c r="B50" s="1" t="s">
        <v>12</v>
      </c>
      <c r="C50" s="1">
        <v>0.80371473684210504</v>
      </c>
      <c r="D50" s="1">
        <v>0.82993157894736846</v>
      </c>
      <c r="E50" s="1">
        <v>0.80402105263157886</v>
      </c>
      <c r="F50" s="1">
        <v>0.79905684210526351</v>
      </c>
      <c r="G50" s="1">
        <v>0.92264421052631562</v>
      </c>
      <c r="H50" s="1">
        <v>0.31458947368421047</v>
      </c>
      <c r="I50" s="1">
        <f t="shared" si="4"/>
        <v>2.9328515023756943</v>
      </c>
      <c r="J50" s="1">
        <v>94.1388245720171</v>
      </c>
      <c r="K50" s="1">
        <v>201.754865629259</v>
      </c>
    </row>
    <row r="51" spans="1:11" x14ac:dyDescent="0.45">
      <c r="A51" s="1" t="s">
        <v>22</v>
      </c>
      <c r="B51" s="1" t="s">
        <v>12</v>
      </c>
      <c r="C51" s="1">
        <v>0.7009347368421055</v>
      </c>
      <c r="D51" s="1">
        <v>0.73074631578947324</v>
      </c>
      <c r="E51" s="1">
        <v>0.701343157894737</v>
      </c>
      <c r="F51" s="1">
        <v>0.69103052631578943</v>
      </c>
      <c r="G51" s="1">
        <v>0.85459263157894738</v>
      </c>
      <c r="H51" s="1">
        <v>0.45191578947368455</v>
      </c>
      <c r="I51" s="1">
        <f t="shared" si="4"/>
        <v>1.8910439765210085</v>
      </c>
      <c r="J51" s="1">
        <v>192.650841653274</v>
      </c>
      <c r="K51" s="1">
        <v>497.89210202573997</v>
      </c>
    </row>
    <row r="52" spans="1:11" x14ac:dyDescent="0.45">
      <c r="A52" s="1" t="s">
        <v>23</v>
      </c>
      <c r="B52" s="1" t="s">
        <v>12</v>
      </c>
      <c r="C52" s="1">
        <v>0.66023157894736817</v>
      </c>
      <c r="D52" s="1">
        <v>0.68900736842105237</v>
      </c>
      <c r="E52" s="1">
        <v>0.66055999999999981</v>
      </c>
      <c r="F52" s="1">
        <v>0.64974105263157877</v>
      </c>
      <c r="G52" s="1">
        <v>0.77822421052631552</v>
      </c>
      <c r="H52" s="1">
        <v>0.45710210526315775</v>
      </c>
      <c r="I52" s="1">
        <f t="shared" si="4"/>
        <v>1.7025172309768404</v>
      </c>
      <c r="J52" s="1">
        <v>289.93744520329301</v>
      </c>
      <c r="K52" s="1">
        <v>787.73530911109299</v>
      </c>
    </row>
    <row r="53" spans="1:11" x14ac:dyDescent="0.45">
      <c r="A53" s="1" t="s">
        <v>24</v>
      </c>
      <c r="B53" s="1" t="s">
        <v>12</v>
      </c>
      <c r="C53" s="1">
        <v>0.63101473684210507</v>
      </c>
      <c r="D53" s="1">
        <v>0.66774421052631594</v>
      </c>
      <c r="E53" s="1">
        <v>0.63125263157894718</v>
      </c>
      <c r="F53" s="1">
        <v>0.61451157894736841</v>
      </c>
      <c r="G53" s="1">
        <v>0.7289347368421053</v>
      </c>
      <c r="H53" s="1">
        <v>0.46643473684210529</v>
      </c>
      <c r="I53" s="1">
        <f t="shared" si="4"/>
        <v>1.5627796972781209</v>
      </c>
      <c r="J53" s="1">
        <v>389.35465792654298</v>
      </c>
      <c r="K53" s="1">
        <v>1083.8441501149</v>
      </c>
    </row>
    <row r="54" spans="1:11" x14ac:dyDescent="0.45">
      <c r="A54" s="1" t="s">
        <v>25</v>
      </c>
      <c r="B54" s="1" t="s">
        <v>12</v>
      </c>
      <c r="C54" s="1">
        <v>0.60511157894736844</v>
      </c>
      <c r="D54" s="1">
        <v>0.64994736842105272</v>
      </c>
      <c r="E54" s="1">
        <v>0.60530000000000006</v>
      </c>
      <c r="F54" s="1">
        <v>0.57945263157894744</v>
      </c>
      <c r="G54" s="1">
        <v>0.68455578947368434</v>
      </c>
      <c r="H54" s="1">
        <v>0.47393789473684217</v>
      </c>
      <c r="I54" s="1">
        <f t="shared" si="4"/>
        <v>1.4443997770083135</v>
      </c>
      <c r="J54" s="1">
        <v>485.29565021588201</v>
      </c>
      <c r="K54" s="1">
        <v>1365.2073065352599</v>
      </c>
    </row>
    <row r="56" spans="1:11" x14ac:dyDescent="0.45">
      <c r="A56" s="1" t="s">
        <v>21</v>
      </c>
      <c r="B56" s="1" t="s">
        <v>12</v>
      </c>
      <c r="C56" s="1">
        <v>0.80371473684210504</v>
      </c>
      <c r="D56" s="1">
        <v>0.82993157894736846</v>
      </c>
      <c r="E56" s="1">
        <v>0.80402105263157886</v>
      </c>
      <c r="F56" s="1">
        <v>0.79905684210526351</v>
      </c>
      <c r="G56" s="1">
        <v>0.92264421052631562</v>
      </c>
      <c r="H56" s="1">
        <v>0.31458947368421047</v>
      </c>
      <c r="I56" s="1">
        <f t="shared" ref="I56" si="6">G56/H56</f>
        <v>2.9328515023756943</v>
      </c>
      <c r="J56" s="1">
        <v>94.1388245720171</v>
      </c>
      <c r="K56" s="1">
        <v>201.754865629259</v>
      </c>
    </row>
    <row r="57" spans="1:11" x14ac:dyDescent="0.45">
      <c r="A57" s="1" t="s">
        <v>26</v>
      </c>
      <c r="B57" s="1" t="s">
        <v>12</v>
      </c>
      <c r="C57" s="1">
        <v>0.76151157894736821</v>
      </c>
      <c r="D57" s="1">
        <v>0.80183473684210527</v>
      </c>
      <c r="E57" s="1">
        <v>0.76192947368421049</v>
      </c>
      <c r="F57" s="1">
        <v>0.75218631578947359</v>
      </c>
      <c r="G57" s="1">
        <v>0.91169473684210511</v>
      </c>
      <c r="H57" s="1">
        <v>0.38782631578947352</v>
      </c>
      <c r="I57" s="1">
        <f t="shared" si="4"/>
        <v>2.3507810061476251</v>
      </c>
      <c r="J57" s="1">
        <v>154.00379100854099</v>
      </c>
      <c r="K57" s="1">
        <v>386.26049297494001</v>
      </c>
    </row>
    <row r="58" spans="1:11" x14ac:dyDescent="0.45">
      <c r="A58" s="1" t="s">
        <v>27</v>
      </c>
      <c r="B58" s="1" t="s">
        <v>12</v>
      </c>
      <c r="C58" s="1">
        <v>0.69789263157894743</v>
      </c>
      <c r="D58" s="1">
        <v>0.76025578947368433</v>
      </c>
      <c r="E58" s="1">
        <v>0.6984800000000001</v>
      </c>
      <c r="F58" s="1">
        <v>0.67714736842105272</v>
      </c>
      <c r="G58" s="1">
        <v>0.91427894736842152</v>
      </c>
      <c r="H58" s="1">
        <v>0.51730842105263164</v>
      </c>
      <c r="I58" s="1">
        <f t="shared" si="4"/>
        <v>1.7673768880622989</v>
      </c>
      <c r="J58" s="1">
        <v>220.24573428003899</v>
      </c>
      <c r="K58" s="1">
        <v>602.29644814342998</v>
      </c>
    </row>
    <row r="59" spans="1:11" x14ac:dyDescent="0.45">
      <c r="A59" s="1" t="s">
        <v>28</v>
      </c>
      <c r="B59" s="1" t="s">
        <v>12</v>
      </c>
      <c r="C59" s="1">
        <v>0.64145894736842102</v>
      </c>
      <c r="D59" s="1">
        <v>0.72704947368421091</v>
      </c>
      <c r="E59" s="1">
        <v>0.64207473684210536</v>
      </c>
      <c r="F59" s="1">
        <v>0.59637894736842101</v>
      </c>
      <c r="G59" s="1">
        <v>0.87458631578947388</v>
      </c>
      <c r="H59" s="1">
        <v>0.59043263157894732</v>
      </c>
      <c r="I59" s="1">
        <f t="shared" si="4"/>
        <v>1.4812635159588603</v>
      </c>
      <c r="J59" s="1">
        <v>299.68831197278899</v>
      </c>
      <c r="K59" s="1">
        <v>855.32524165823702</v>
      </c>
    </row>
    <row r="60" spans="1:11" x14ac:dyDescent="0.45">
      <c r="A60" s="1" t="s">
        <v>29</v>
      </c>
      <c r="B60" s="1" t="s">
        <v>12</v>
      </c>
      <c r="C60" s="1">
        <v>0.49937052631578932</v>
      </c>
      <c r="D60" s="1">
        <v>0.24968736842105257</v>
      </c>
      <c r="E60" s="1">
        <v>0.5</v>
      </c>
      <c r="F60" s="1">
        <v>0.33301789473684223</v>
      </c>
      <c r="G60" s="1">
        <v>0.47368421052631576</v>
      </c>
      <c r="H60" s="1">
        <v>0.47368421052631576</v>
      </c>
      <c r="I60" s="1">
        <f t="shared" si="4"/>
        <v>1</v>
      </c>
      <c r="J60" s="1">
        <v>387.39808021485902</v>
      </c>
      <c r="K60" s="1">
        <v>1111.7174057612999</v>
      </c>
    </row>
    <row r="62" spans="1:11" x14ac:dyDescent="0.45">
      <c r="A62" s="1" t="s">
        <v>30</v>
      </c>
      <c r="B62" s="1" t="s">
        <v>12</v>
      </c>
      <c r="C62" s="1">
        <v>0.76767894736842091</v>
      </c>
      <c r="D62" s="1">
        <v>0.80182842105263119</v>
      </c>
      <c r="E62" s="1">
        <v>0.76803473684210499</v>
      </c>
      <c r="F62" s="1">
        <v>0.75235157894736837</v>
      </c>
      <c r="G62" s="1">
        <v>0.89393368421052644</v>
      </c>
      <c r="H62" s="1">
        <v>0.35786631578947359</v>
      </c>
      <c r="I62" s="1">
        <f t="shared" si="4"/>
        <v>2.4979542493080342</v>
      </c>
      <c r="J62" s="1">
        <v>101.50360398273</v>
      </c>
      <c r="K62" s="1">
        <v>146.625254818109</v>
      </c>
    </row>
    <row r="63" spans="1:11" x14ac:dyDescent="0.45">
      <c r="A63" s="1" t="s">
        <v>31</v>
      </c>
      <c r="B63" s="1" t="s">
        <v>12</v>
      </c>
      <c r="C63" s="1">
        <v>0.68586631578947344</v>
      </c>
      <c r="D63" s="1">
        <v>0.70254631578947369</v>
      </c>
      <c r="E63" s="1">
        <v>0.68606315789473671</v>
      </c>
      <c r="F63" s="1">
        <v>0.67455473684210543</v>
      </c>
      <c r="G63" s="1">
        <v>0.76219368421052647</v>
      </c>
      <c r="H63" s="1">
        <v>0.39008631578947384</v>
      </c>
      <c r="I63" s="1">
        <f t="shared" si="4"/>
        <v>1.9539103356342182</v>
      </c>
      <c r="J63" s="1">
        <v>199.175629209589</v>
      </c>
      <c r="K63" s="1">
        <v>382.13239634282002</v>
      </c>
    </row>
    <row r="64" spans="1:11" x14ac:dyDescent="0.45">
      <c r="A64" s="1" t="s">
        <v>32</v>
      </c>
      <c r="B64" s="1" t="s">
        <v>12</v>
      </c>
      <c r="C64" s="1">
        <v>0.65064736842105253</v>
      </c>
      <c r="D64" s="1">
        <v>0.67414631578947337</v>
      </c>
      <c r="E64" s="1">
        <v>0.65084000000000009</v>
      </c>
      <c r="F64" s="1">
        <v>0.63989473684210529</v>
      </c>
      <c r="G64" s="1">
        <v>0.72843368421052657</v>
      </c>
      <c r="H64" s="1">
        <v>0.42675263157894727</v>
      </c>
      <c r="I64" s="1">
        <f t="shared" si="4"/>
        <v>1.7069225361666451</v>
      </c>
      <c r="J64" s="1">
        <v>297.269970783134</v>
      </c>
      <c r="K64" s="1">
        <v>615.670677684201</v>
      </c>
    </row>
    <row r="65" spans="1:11" x14ac:dyDescent="0.45">
      <c r="A65" s="1" t="s">
        <v>33</v>
      </c>
      <c r="B65" s="1" t="s">
        <v>12</v>
      </c>
      <c r="C65" s="1">
        <v>0.62328736842105237</v>
      </c>
      <c r="D65" s="1">
        <v>0.65490526315789455</v>
      </c>
      <c r="E65" s="1">
        <v>0.62347789473684201</v>
      </c>
      <c r="F65" s="1">
        <v>0.60746421052631583</v>
      </c>
      <c r="G65" s="1">
        <v>0.69172526315789495</v>
      </c>
      <c r="H65" s="1">
        <v>0.44477157894736835</v>
      </c>
      <c r="I65" s="1">
        <f t="shared" si="4"/>
        <v>1.5552371057408541</v>
      </c>
      <c r="J65" s="1">
        <v>395.07866871779299</v>
      </c>
      <c r="K65" s="1">
        <v>846.39722190017699</v>
      </c>
    </row>
    <row r="66" spans="1:11" x14ac:dyDescent="0.45">
      <c r="A66" s="1" t="s">
        <v>34</v>
      </c>
      <c r="B66" s="1" t="s">
        <v>12</v>
      </c>
      <c r="C66" s="1">
        <v>0.59924947368421055</v>
      </c>
      <c r="D66" s="1">
        <v>0.63678842105263156</v>
      </c>
      <c r="E66" s="1">
        <v>0.59947052631578979</v>
      </c>
      <c r="F66" s="1">
        <v>0.57576842105263171</v>
      </c>
      <c r="G66" s="1">
        <v>0.68302421052631579</v>
      </c>
      <c r="H66" s="1">
        <v>0.48407473684210534</v>
      </c>
      <c r="I66" s="1">
        <f t="shared" si="4"/>
        <v>1.4109891687016574</v>
      </c>
      <c r="J66" s="1">
        <v>493.81878303465197</v>
      </c>
      <c r="K66" s="1">
        <v>1082.4600654794699</v>
      </c>
    </row>
    <row r="68" spans="1:11" x14ac:dyDescent="0.45">
      <c r="A68" s="1" t="s">
        <v>30</v>
      </c>
      <c r="B68" s="1" t="s">
        <v>12</v>
      </c>
      <c r="C68" s="1">
        <v>0.76767894736842091</v>
      </c>
      <c r="D68" s="1">
        <v>0.80182842105263119</v>
      </c>
      <c r="E68" s="1">
        <v>0.76803473684210499</v>
      </c>
      <c r="F68" s="1">
        <v>0.75235157894736837</v>
      </c>
      <c r="G68" s="1">
        <v>0.89393368421052644</v>
      </c>
      <c r="H68" s="1">
        <v>0.35786631578947359</v>
      </c>
      <c r="I68" s="1">
        <f t="shared" ref="I68" si="7">G68/H68</f>
        <v>2.4979542493080342</v>
      </c>
      <c r="J68" s="1">
        <v>101.50360398273</v>
      </c>
      <c r="K68" s="1">
        <v>146.625254818109</v>
      </c>
    </row>
    <row r="69" spans="1:11" x14ac:dyDescent="0.45">
      <c r="A69" s="1" t="s">
        <v>35</v>
      </c>
      <c r="B69" s="1" t="s">
        <v>12</v>
      </c>
      <c r="C69" s="1">
        <v>0.75971052631578906</v>
      </c>
      <c r="D69" s="1">
        <v>0.79289368421052642</v>
      </c>
      <c r="E69" s="1">
        <v>0.76005789473684171</v>
      </c>
      <c r="F69" s="1">
        <v>0.75209684210526273</v>
      </c>
      <c r="G69" s="1">
        <v>0.89397578947368406</v>
      </c>
      <c r="H69" s="1">
        <v>0.37386210526315788</v>
      </c>
      <c r="I69" s="1">
        <f t="shared" si="4"/>
        <v>2.3911912357215859</v>
      </c>
      <c r="J69" s="1">
        <v>158.75624216046199</v>
      </c>
      <c r="K69" s="1">
        <v>294.20907467802499</v>
      </c>
    </row>
    <row r="70" spans="1:11" x14ac:dyDescent="0.45">
      <c r="A70" s="1" t="s">
        <v>36</v>
      </c>
      <c r="B70" s="1" t="s">
        <v>12</v>
      </c>
      <c r="C70" s="1">
        <v>0.69849263157894725</v>
      </c>
      <c r="D70" s="1">
        <v>0.76107368421052624</v>
      </c>
      <c r="E70" s="1">
        <v>0.69906315789473683</v>
      </c>
      <c r="F70" s="1">
        <v>0.68040842105263144</v>
      </c>
      <c r="G70" s="1">
        <v>0.91505894736842153</v>
      </c>
      <c r="H70" s="1">
        <v>0.51693263157894742</v>
      </c>
      <c r="I70" s="1">
        <f t="shared" si="4"/>
        <v>1.7701706014832439</v>
      </c>
      <c r="J70" s="1">
        <v>228.145602424522</v>
      </c>
      <c r="K70" s="1">
        <v>462.24910431987502</v>
      </c>
    </row>
    <row r="71" spans="1:11" x14ac:dyDescent="0.45">
      <c r="A71" s="1" t="s">
        <v>37</v>
      </c>
      <c r="B71" s="1" t="s">
        <v>12</v>
      </c>
      <c r="C71" s="1">
        <v>0.64152842105263164</v>
      </c>
      <c r="D71" s="1">
        <v>0.71213473684210538</v>
      </c>
      <c r="E71" s="1">
        <v>0.64218631578947372</v>
      </c>
      <c r="F71" s="1">
        <v>0.59305578947368409</v>
      </c>
      <c r="G71" s="1">
        <v>0.86300210526315813</v>
      </c>
      <c r="H71" s="1">
        <v>0.57863052631578926</v>
      </c>
      <c r="I71" s="1">
        <f t="shared" si="4"/>
        <v>1.4914562333204182</v>
      </c>
      <c r="J71" s="1">
        <v>301.74304342878497</v>
      </c>
      <c r="K71" s="1">
        <v>664.83217047366804</v>
      </c>
    </row>
    <row r="72" spans="1:11" x14ac:dyDescent="0.45">
      <c r="A72" s="1" t="s">
        <v>38</v>
      </c>
      <c r="B72" s="1" t="s">
        <v>12</v>
      </c>
      <c r="C72" s="1">
        <v>0.49965052631578932</v>
      </c>
      <c r="D72" s="1">
        <v>0.24982631578947365</v>
      </c>
      <c r="E72" s="1">
        <v>0.5</v>
      </c>
      <c r="F72" s="1">
        <v>0.33314421052631588</v>
      </c>
      <c r="G72" s="1">
        <v>0.50526315789473686</v>
      </c>
      <c r="H72" s="1">
        <v>0.50526315789473686</v>
      </c>
      <c r="I72" s="1">
        <f t="shared" si="4"/>
        <v>1</v>
      </c>
      <c r="J72" s="1">
        <v>390.97547093841598</v>
      </c>
      <c r="K72" s="1">
        <v>869.49903457497703</v>
      </c>
    </row>
    <row r="74" spans="1:11" x14ac:dyDescent="0.45">
      <c r="A74" s="1" t="s">
        <v>8</v>
      </c>
      <c r="B74" s="1" t="s">
        <v>10</v>
      </c>
      <c r="C74" s="1">
        <v>0.71925789473684232</v>
      </c>
      <c r="D74" s="1">
        <v>0.70082842105263154</v>
      </c>
      <c r="E74" s="1">
        <v>0.7190399999999999</v>
      </c>
      <c r="F74" s="1">
        <v>0.68618526315789452</v>
      </c>
      <c r="G74" s="1">
        <v>0.67130210526315814</v>
      </c>
      <c r="H74" s="1">
        <v>0.23321684210526319</v>
      </c>
      <c r="I74" s="1">
        <f t="shared" si="4"/>
        <v>2.8784460813518935</v>
      </c>
      <c r="J74" s="1">
        <v>117.893887031212</v>
      </c>
      <c r="K74" s="1">
        <v>99.168333160118095</v>
      </c>
    </row>
    <row r="75" spans="1:11" x14ac:dyDescent="0.45">
      <c r="A75" s="1" t="s">
        <v>13</v>
      </c>
      <c r="B75" s="1" t="s">
        <v>10</v>
      </c>
      <c r="C75" s="1">
        <v>0.64590631578947366</v>
      </c>
      <c r="D75" s="1">
        <v>0.61556947368421044</v>
      </c>
      <c r="E75" s="1">
        <v>0.64576000000000011</v>
      </c>
      <c r="F75" s="1">
        <v>0.60506736842105269</v>
      </c>
      <c r="G75" s="1">
        <v>0.57477894736842117</v>
      </c>
      <c r="H75" s="1">
        <v>0.28324421052631588</v>
      </c>
      <c r="I75" s="1">
        <f t="shared" si="4"/>
        <v>2.0292698879895346</v>
      </c>
      <c r="J75" s="1">
        <v>216.185464261177</v>
      </c>
      <c r="K75" s="1">
        <v>276.30624633703798</v>
      </c>
    </row>
    <row r="76" spans="1:11" x14ac:dyDescent="0.45">
      <c r="A76" s="1" t="s">
        <v>14</v>
      </c>
      <c r="B76" s="1" t="s">
        <v>10</v>
      </c>
      <c r="C76" s="1">
        <v>0.59281473684210551</v>
      </c>
      <c r="D76" s="1">
        <v>0.55734947368421062</v>
      </c>
      <c r="E76" s="1">
        <v>0.59257473684210515</v>
      </c>
      <c r="F76" s="1">
        <v>0.53926631578947382</v>
      </c>
      <c r="G76" s="1">
        <v>0.47317578947368411</v>
      </c>
      <c r="H76" s="1">
        <v>0.28802105263157896</v>
      </c>
      <c r="I76" s="1">
        <f t="shared" si="4"/>
        <v>1.6428513997514798</v>
      </c>
      <c r="J76" s="1">
        <v>313.96283653275799</v>
      </c>
      <c r="K76" s="1">
        <v>450.33041408679702</v>
      </c>
    </row>
    <row r="77" spans="1:11" x14ac:dyDescent="0.45">
      <c r="A77" s="1" t="s">
        <v>15</v>
      </c>
      <c r="B77" s="1" t="s">
        <v>10</v>
      </c>
      <c r="C77" s="1">
        <v>0.56469052631578953</v>
      </c>
      <c r="D77" s="1">
        <v>0.52580631578947357</v>
      </c>
      <c r="E77" s="1">
        <v>0.56467894736842128</v>
      </c>
      <c r="F77" s="1">
        <v>0.50061894736842105</v>
      </c>
      <c r="G77" s="1">
        <v>0.51306315789473689</v>
      </c>
      <c r="H77" s="1">
        <v>0.38370526315789472</v>
      </c>
      <c r="I77" s="1">
        <f t="shared" si="4"/>
        <v>1.3371282782837706</v>
      </c>
      <c r="J77" s="1">
        <v>412.92246253311401</v>
      </c>
      <c r="K77" s="1">
        <v>628.31790043228898</v>
      </c>
    </row>
    <row r="78" spans="1:11" x14ac:dyDescent="0.45">
      <c r="A78" s="1" t="s">
        <v>16</v>
      </c>
      <c r="B78" s="1" t="s">
        <v>10</v>
      </c>
      <c r="C78" s="1">
        <v>0.56115578947368439</v>
      </c>
      <c r="D78" s="1">
        <v>0.52052842105263164</v>
      </c>
      <c r="E78" s="1">
        <v>0.56081684210526339</v>
      </c>
      <c r="F78" s="1">
        <v>0.4947789473684211</v>
      </c>
      <c r="G78" s="1">
        <v>0.43319578947368409</v>
      </c>
      <c r="H78" s="1">
        <v>0.31155789473684203</v>
      </c>
      <c r="I78" s="1">
        <f t="shared" si="4"/>
        <v>1.3904182715048314</v>
      </c>
      <c r="J78" s="1">
        <v>510.04199588004798</v>
      </c>
      <c r="K78" s="1">
        <v>800.39880623301497</v>
      </c>
    </row>
    <row r="80" spans="1:11" x14ac:dyDescent="0.45">
      <c r="A80" s="1" t="s">
        <v>8</v>
      </c>
      <c r="B80" s="1" t="s">
        <v>10</v>
      </c>
      <c r="C80" s="1">
        <v>0.71925789473684232</v>
      </c>
      <c r="D80" s="1">
        <v>0.70082842105263154</v>
      </c>
      <c r="E80" s="1">
        <v>0.7190399999999999</v>
      </c>
      <c r="F80" s="1">
        <v>0.68618526315789452</v>
      </c>
      <c r="G80" s="1">
        <v>0.67130210526315814</v>
      </c>
      <c r="H80" s="1">
        <v>0.23321684210526319</v>
      </c>
      <c r="I80" s="1">
        <f t="shared" ref="I80" si="8">G80/H80</f>
        <v>2.8784460813518935</v>
      </c>
      <c r="J80" s="1">
        <v>117.893887031212</v>
      </c>
      <c r="K80" s="1">
        <v>99.168333160118095</v>
      </c>
    </row>
    <row r="81" spans="1:11" x14ac:dyDescent="0.45">
      <c r="A81" s="1" t="s">
        <v>17</v>
      </c>
      <c r="B81" s="1" t="s">
        <v>10</v>
      </c>
      <c r="C81" s="1">
        <v>0.73820315789473656</v>
      </c>
      <c r="D81" s="1">
        <v>0.75868105263157914</v>
      </c>
      <c r="E81" s="1">
        <v>0.73852947368421029</v>
      </c>
      <c r="F81" s="1">
        <v>0.7254621052631578</v>
      </c>
      <c r="G81" s="1">
        <v>0.84394947368421058</v>
      </c>
      <c r="H81" s="1">
        <v>0.36687894736842119</v>
      </c>
      <c r="I81" s="1">
        <f t="shared" si="4"/>
        <v>2.3003486020055366</v>
      </c>
      <c r="J81" s="1">
        <v>172.73236077436599</v>
      </c>
      <c r="K81" s="1">
        <v>199.04162237035101</v>
      </c>
    </row>
    <row r="82" spans="1:11" x14ac:dyDescent="0.45">
      <c r="A82" s="1" t="s">
        <v>18</v>
      </c>
      <c r="B82" s="1" t="s">
        <v>10</v>
      </c>
      <c r="C82" s="1">
        <v>0.69503263157894712</v>
      </c>
      <c r="D82" s="1">
        <v>0.74574315789473733</v>
      </c>
      <c r="E82" s="1">
        <v>0.69562105263157914</v>
      </c>
      <c r="F82" s="1">
        <v>0.67570736842105261</v>
      </c>
      <c r="G82" s="1">
        <v>0.9131199999999996</v>
      </c>
      <c r="H82" s="1">
        <v>0.52187789473684199</v>
      </c>
      <c r="I82" s="1">
        <f t="shared" si="4"/>
        <v>1.7496813128297803</v>
      </c>
      <c r="J82" s="1">
        <v>244.526603795055</v>
      </c>
      <c r="K82" s="1">
        <v>341.04443392358201</v>
      </c>
    </row>
    <row r="83" spans="1:11" x14ac:dyDescent="0.45">
      <c r="A83" s="1" t="s">
        <v>19</v>
      </c>
      <c r="B83" s="1" t="s">
        <v>10</v>
      </c>
      <c r="C83" s="1">
        <v>0.64717999999999998</v>
      </c>
      <c r="D83" s="1">
        <v>0.72527684210526311</v>
      </c>
      <c r="E83" s="1">
        <v>0.64778000000000002</v>
      </c>
      <c r="F83" s="1">
        <v>0.60987578947368426</v>
      </c>
      <c r="G83" s="1">
        <v>0.86902631578947398</v>
      </c>
      <c r="H83" s="1">
        <v>0.57347368421052614</v>
      </c>
      <c r="I83" s="1">
        <f t="shared" si="4"/>
        <v>1.5153726138032315</v>
      </c>
      <c r="J83" s="1">
        <v>314.18513271964099</v>
      </c>
      <c r="K83" s="1">
        <v>474.24357210593502</v>
      </c>
    </row>
    <row r="84" spans="1:11" x14ac:dyDescent="0.45">
      <c r="A84" s="1" t="s">
        <v>20</v>
      </c>
      <c r="B84" s="1" t="s">
        <v>10</v>
      </c>
      <c r="C84" s="1">
        <v>0.4993244186046511</v>
      </c>
      <c r="D84" s="1">
        <v>0.24966627906976743</v>
      </c>
      <c r="E84" s="1">
        <v>0.5</v>
      </c>
      <c r="F84" s="1">
        <v>0.33299883720930251</v>
      </c>
      <c r="G84" s="1">
        <v>0.45348837209302323</v>
      </c>
      <c r="H84" s="1">
        <v>0.45348837209302323</v>
      </c>
      <c r="I84" s="1">
        <f>G84/H84</f>
        <v>1</v>
      </c>
      <c r="J84" s="1">
        <v>394.10594886872099</v>
      </c>
      <c r="K84" s="1">
        <v>627.263880440908</v>
      </c>
    </row>
    <row r="86" spans="1:11" x14ac:dyDescent="0.45">
      <c r="A86" s="1" t="s">
        <v>21</v>
      </c>
      <c r="B86" s="1" t="s">
        <v>10</v>
      </c>
      <c r="C86" s="1">
        <v>0.77635894736842148</v>
      </c>
      <c r="D86" s="1">
        <v>0.77492210526315786</v>
      </c>
      <c r="E86" s="1">
        <v>0.77629578947368427</v>
      </c>
      <c r="F86" s="1">
        <v>0.75623052631578924</v>
      </c>
      <c r="G86" s="1">
        <v>0.77899473684210518</v>
      </c>
      <c r="H86" s="1">
        <v>0.22640105263157895</v>
      </c>
      <c r="I86" s="1">
        <f t="shared" si="4"/>
        <v>3.4407734760392592</v>
      </c>
      <c r="J86" s="1">
        <v>94.1388245720171</v>
      </c>
      <c r="K86" s="1">
        <v>201.754865629259</v>
      </c>
    </row>
    <row r="87" spans="1:11" x14ac:dyDescent="0.45">
      <c r="A87" s="1" t="s">
        <v>22</v>
      </c>
      <c r="B87" s="1" t="s">
        <v>10</v>
      </c>
      <c r="C87" s="1">
        <v>0.66265894736842113</v>
      </c>
      <c r="D87" s="1">
        <v>0.64608526315789472</v>
      </c>
      <c r="E87" s="1">
        <v>0.6624873684210526</v>
      </c>
      <c r="F87" s="1">
        <v>0.62769789473684201</v>
      </c>
      <c r="G87" s="1">
        <v>0.62585263157894733</v>
      </c>
      <c r="H87" s="1">
        <v>0.30087999999999998</v>
      </c>
      <c r="I87" s="1">
        <f t="shared" ref="I87:I129" si="9">G87/H87</f>
        <v>2.0800738885234891</v>
      </c>
      <c r="J87" s="1">
        <v>192.650841653274</v>
      </c>
      <c r="K87" s="1">
        <v>497.89210202573997</v>
      </c>
    </row>
    <row r="88" spans="1:11" x14ac:dyDescent="0.45">
      <c r="A88" s="1" t="s">
        <v>23</v>
      </c>
      <c r="B88" s="1" t="s">
        <v>10</v>
      </c>
      <c r="C88" s="1">
        <v>0.6195589473684211</v>
      </c>
      <c r="D88" s="1">
        <v>0.60114000000000012</v>
      </c>
      <c r="E88" s="1">
        <v>0.61957894736842078</v>
      </c>
      <c r="F88" s="1">
        <v>0.57930842105263136</v>
      </c>
      <c r="G88" s="1">
        <v>0.58499999999999985</v>
      </c>
      <c r="H88" s="1">
        <v>0.34583894736842119</v>
      </c>
      <c r="I88" s="1">
        <f t="shared" si="9"/>
        <v>1.6915388057112062</v>
      </c>
      <c r="J88" s="1">
        <v>289.93744520329301</v>
      </c>
      <c r="K88" s="1">
        <v>787.73530911109299</v>
      </c>
    </row>
    <row r="89" spans="1:11" x14ac:dyDescent="0.45">
      <c r="A89" s="1" t="s">
        <v>24</v>
      </c>
      <c r="B89" s="1" t="s">
        <v>10</v>
      </c>
      <c r="C89" s="1">
        <v>0.56540736842105288</v>
      </c>
      <c r="D89" s="1">
        <v>0.51980736842105291</v>
      </c>
      <c r="E89" s="1">
        <v>0.56521684210526302</v>
      </c>
      <c r="F89" s="1">
        <v>0.49851578947368402</v>
      </c>
      <c r="G89" s="1">
        <v>0.46335789473684202</v>
      </c>
      <c r="H89" s="1">
        <v>0.33292842105263165</v>
      </c>
      <c r="I89" s="1">
        <f t="shared" si="9"/>
        <v>1.391764311595348</v>
      </c>
      <c r="J89" s="1">
        <v>389.35465792654298</v>
      </c>
      <c r="K89" s="1">
        <v>1083.8441501149</v>
      </c>
    </row>
    <row r="90" spans="1:11" x14ac:dyDescent="0.45">
      <c r="A90" s="1" t="s">
        <v>25</v>
      </c>
      <c r="B90" s="1" t="s">
        <v>10</v>
      </c>
      <c r="C90" s="1">
        <v>0.56416421052631571</v>
      </c>
      <c r="D90" s="1">
        <v>0.52590210526315795</v>
      </c>
      <c r="E90" s="1">
        <v>0.56392842105263175</v>
      </c>
      <c r="F90" s="1">
        <v>0.49457473684210518</v>
      </c>
      <c r="G90" s="1">
        <v>0.46217789473684212</v>
      </c>
      <c r="H90" s="1">
        <v>0.3343189473684211</v>
      </c>
      <c r="I90" s="1">
        <f t="shared" si="9"/>
        <v>1.3824460096409668</v>
      </c>
      <c r="J90" s="1">
        <v>485.29565021588201</v>
      </c>
      <c r="K90" s="1">
        <v>1365.2073065352599</v>
      </c>
    </row>
    <row r="92" spans="1:11" x14ac:dyDescent="0.45">
      <c r="A92" s="1" t="s">
        <v>21</v>
      </c>
      <c r="B92" s="1" t="s">
        <v>10</v>
      </c>
      <c r="C92" s="1">
        <v>0.77635894736842148</v>
      </c>
      <c r="D92" s="1">
        <v>0.77492210526315786</v>
      </c>
      <c r="E92" s="1">
        <v>0.77629578947368427</v>
      </c>
      <c r="F92" s="1">
        <v>0.75623052631578924</v>
      </c>
      <c r="G92" s="1">
        <v>0.77899473684210518</v>
      </c>
      <c r="H92" s="1">
        <v>0.22640105263157895</v>
      </c>
      <c r="I92" s="1">
        <f t="shared" ref="I92" si="10">G92/H92</f>
        <v>3.4407734760392592</v>
      </c>
      <c r="J92" s="1">
        <v>94.1388245720171</v>
      </c>
      <c r="K92" s="1">
        <v>201.754865629259</v>
      </c>
    </row>
    <row r="93" spans="1:11" x14ac:dyDescent="0.45">
      <c r="A93" s="1" t="s">
        <v>26</v>
      </c>
      <c r="B93" s="1" t="s">
        <v>10</v>
      </c>
      <c r="C93" s="1">
        <v>0.75646315789473684</v>
      </c>
      <c r="D93" s="1">
        <v>0.78736526315789501</v>
      </c>
      <c r="E93" s="1">
        <v>0.75682105263157917</v>
      </c>
      <c r="F93" s="1">
        <v>0.7469189473684209</v>
      </c>
      <c r="G93" s="1">
        <v>0.88384421052631557</v>
      </c>
      <c r="H93" s="1">
        <v>0.37019263157894716</v>
      </c>
      <c r="I93" s="1">
        <f t="shared" si="9"/>
        <v>2.3875251291646178</v>
      </c>
      <c r="J93" s="1">
        <v>154.00379100854099</v>
      </c>
      <c r="K93" s="1">
        <v>386.26049297494001</v>
      </c>
    </row>
    <row r="94" spans="1:11" x14ac:dyDescent="0.45">
      <c r="A94" s="1" t="s">
        <v>27</v>
      </c>
      <c r="B94" s="1" t="s">
        <v>10</v>
      </c>
      <c r="C94" s="1">
        <v>0.69304736842105263</v>
      </c>
      <c r="D94" s="1">
        <v>0.75179578947368431</v>
      </c>
      <c r="E94" s="1">
        <v>0.69358736842105273</v>
      </c>
      <c r="F94" s="1">
        <v>0.67057999999999995</v>
      </c>
      <c r="G94" s="1">
        <v>0.90502210526315841</v>
      </c>
      <c r="H94" s="1">
        <v>0.51783789473684216</v>
      </c>
      <c r="I94" s="1">
        <f t="shared" si="9"/>
        <v>1.7476938525773162</v>
      </c>
      <c r="J94" s="1">
        <v>220.24573428003899</v>
      </c>
      <c r="K94" s="1">
        <v>602.29644814342998</v>
      </c>
    </row>
    <row r="95" spans="1:11" x14ac:dyDescent="0.45">
      <c r="A95" s="1" t="s">
        <v>28</v>
      </c>
      <c r="B95" s="1" t="s">
        <v>10</v>
      </c>
      <c r="C95" s="1">
        <v>0.63985684210526328</v>
      </c>
      <c r="D95" s="1">
        <v>0.71912000000000043</v>
      </c>
      <c r="E95" s="1">
        <v>0.64046631578947388</v>
      </c>
      <c r="F95" s="1">
        <v>0.5921747368421052</v>
      </c>
      <c r="G95" s="1">
        <v>0.85485684210526325</v>
      </c>
      <c r="H95" s="1">
        <v>0.57391999999999999</v>
      </c>
      <c r="I95" s="1">
        <f t="shared" si="9"/>
        <v>1.4895052308775845</v>
      </c>
      <c r="J95" s="1">
        <v>299.68831197278899</v>
      </c>
      <c r="K95" s="1">
        <v>855.32524165823702</v>
      </c>
    </row>
    <row r="96" spans="1:11" x14ac:dyDescent="0.45">
      <c r="A96" s="1" t="s">
        <v>29</v>
      </c>
      <c r="B96" s="1" t="s">
        <v>10</v>
      </c>
      <c r="C96" s="1">
        <v>0.50669894736842092</v>
      </c>
      <c r="D96" s="1">
        <v>0.26238421052631572</v>
      </c>
      <c r="E96" s="1">
        <v>0.50719684210526317</v>
      </c>
      <c r="F96" s="1">
        <v>0.34376210526315798</v>
      </c>
      <c r="G96" s="1">
        <v>0.41925684210526315</v>
      </c>
      <c r="H96" s="1">
        <v>0.40486315789473687</v>
      </c>
      <c r="I96" s="1">
        <f t="shared" si="9"/>
        <v>1.0355519733763194</v>
      </c>
      <c r="J96" s="1">
        <v>387.39808021485902</v>
      </c>
      <c r="K96" s="1">
        <v>1111.7174057612999</v>
      </c>
    </row>
    <row r="98" spans="1:11" x14ac:dyDescent="0.45">
      <c r="A98" s="1" t="s">
        <v>30</v>
      </c>
      <c r="B98" s="1" t="s">
        <v>10</v>
      </c>
      <c r="C98" s="1">
        <v>0.7563042105263158</v>
      </c>
      <c r="D98" s="1">
        <v>0.75191894736842102</v>
      </c>
      <c r="E98" s="1">
        <v>0.75635894736842091</v>
      </c>
      <c r="F98" s="1">
        <v>0.73391684210526331</v>
      </c>
      <c r="G98" s="1">
        <v>0.75631894736842065</v>
      </c>
      <c r="H98" s="1">
        <v>0.24360631578947359</v>
      </c>
      <c r="I98" s="1">
        <f t="shared" si="9"/>
        <v>3.1046770890046922</v>
      </c>
      <c r="J98" s="1">
        <v>101.50360398273</v>
      </c>
      <c r="K98" s="1">
        <v>146.625254818109</v>
      </c>
    </row>
    <row r="99" spans="1:11" x14ac:dyDescent="0.45">
      <c r="A99" s="1" t="s">
        <v>31</v>
      </c>
      <c r="B99" s="1" t="s">
        <v>10</v>
      </c>
      <c r="C99" s="1">
        <v>0.66764315789473672</v>
      </c>
      <c r="D99" s="1">
        <v>0.65482947368421052</v>
      </c>
      <c r="E99" s="1">
        <v>0.66771052631578942</v>
      </c>
      <c r="F99" s="1">
        <v>0.6371694736842104</v>
      </c>
      <c r="G99" s="1">
        <v>0.64750105263157876</v>
      </c>
      <c r="H99" s="1">
        <v>0.31208210526315788</v>
      </c>
      <c r="I99" s="1">
        <f t="shared" si="9"/>
        <v>2.0747778924574498</v>
      </c>
      <c r="J99" s="1">
        <v>199.175629209589</v>
      </c>
      <c r="K99" s="1">
        <v>382.13239634282002</v>
      </c>
    </row>
    <row r="100" spans="1:11" x14ac:dyDescent="0.45">
      <c r="A100" s="1" t="s">
        <v>32</v>
      </c>
      <c r="B100" s="1" t="s">
        <v>10</v>
      </c>
      <c r="C100" s="1">
        <v>0.60143263157894755</v>
      </c>
      <c r="D100" s="1">
        <v>0.55801473684210545</v>
      </c>
      <c r="E100" s="1">
        <v>0.60109999999999986</v>
      </c>
      <c r="F100" s="1">
        <v>0.54943894736842103</v>
      </c>
      <c r="G100" s="1">
        <v>0.49051157894736847</v>
      </c>
      <c r="H100" s="1">
        <v>0.28830736842105265</v>
      </c>
      <c r="I100" s="1">
        <f t="shared" si="9"/>
        <v>1.7013494370043667</v>
      </c>
      <c r="J100" s="1">
        <v>297.269970783134</v>
      </c>
      <c r="K100" s="1">
        <v>615.670677684201</v>
      </c>
    </row>
    <row r="101" spans="1:11" x14ac:dyDescent="0.45">
      <c r="A101" s="1" t="s">
        <v>33</v>
      </c>
      <c r="B101" s="1" t="s">
        <v>10</v>
      </c>
      <c r="C101" s="1">
        <v>0.57299894736842116</v>
      </c>
      <c r="D101" s="1">
        <v>0.528961052631579</v>
      </c>
      <c r="E101" s="1">
        <v>0.57255999999999996</v>
      </c>
      <c r="F101" s="1">
        <v>0.5086978947368419</v>
      </c>
      <c r="G101" s="1">
        <v>0.43332315789473685</v>
      </c>
      <c r="H101" s="1">
        <v>0.28821157894736832</v>
      </c>
      <c r="I101" s="1">
        <f t="shared" si="9"/>
        <v>1.5034897608116851</v>
      </c>
      <c r="J101" s="1">
        <v>395.07866871779299</v>
      </c>
      <c r="K101" s="1">
        <v>846.39722190017699</v>
      </c>
    </row>
    <row r="102" spans="1:11" x14ac:dyDescent="0.45">
      <c r="A102" s="1" t="s">
        <v>34</v>
      </c>
      <c r="B102" s="1" t="s">
        <v>10</v>
      </c>
      <c r="C102" s="1">
        <v>0.54630736842105243</v>
      </c>
      <c r="D102" s="1">
        <v>0.50255789473684209</v>
      </c>
      <c r="E102" s="1">
        <v>0.54612526315789467</v>
      </c>
      <c r="F102" s="1">
        <v>0.47093473684210502</v>
      </c>
      <c r="G102" s="1">
        <v>0.47310105263157876</v>
      </c>
      <c r="H102" s="1">
        <v>0.38084315789473694</v>
      </c>
      <c r="I102" s="1">
        <f t="shared" si="9"/>
        <v>1.2422464282851615</v>
      </c>
      <c r="J102" s="1">
        <v>493.81878303465197</v>
      </c>
      <c r="K102" s="1">
        <v>1082.4600654794699</v>
      </c>
    </row>
    <row r="104" spans="1:11" x14ac:dyDescent="0.45">
      <c r="A104" s="1" t="s">
        <v>30</v>
      </c>
      <c r="B104" s="1" t="s">
        <v>10</v>
      </c>
      <c r="C104" s="1">
        <v>0.75830421052631602</v>
      </c>
      <c r="D104" s="1">
        <v>0.75191894736842102</v>
      </c>
      <c r="E104" s="1">
        <v>0.75635894736842091</v>
      </c>
      <c r="F104" s="1">
        <v>0.73391684210526331</v>
      </c>
      <c r="G104" s="1">
        <v>0.75631894736842065</v>
      </c>
      <c r="H104" s="1">
        <v>0.24360631578947359</v>
      </c>
      <c r="I104" s="1">
        <f t="shared" ref="I104" si="11">G104/H104</f>
        <v>3.1046770890046922</v>
      </c>
      <c r="J104" s="1">
        <v>101.50360398273</v>
      </c>
      <c r="K104" s="1">
        <v>146.625254818109</v>
      </c>
    </row>
    <row r="105" spans="1:11" x14ac:dyDescent="0.45">
      <c r="A105" s="1" t="s">
        <v>35</v>
      </c>
      <c r="B105" s="1" t="s">
        <v>10</v>
      </c>
      <c r="C105" s="1">
        <v>0.75739999999999963</v>
      </c>
      <c r="D105" s="1">
        <v>0.7847200000000002</v>
      </c>
      <c r="E105" s="1">
        <v>0.75772947368421018</v>
      </c>
      <c r="F105" s="1">
        <v>0.71941789473684203</v>
      </c>
      <c r="G105" s="1">
        <v>0.87158842105263168</v>
      </c>
      <c r="H105" s="1">
        <v>0.35613052631578956</v>
      </c>
      <c r="I105" s="1">
        <f t="shared" si="9"/>
        <v>2.4473847554415289</v>
      </c>
      <c r="J105" s="1">
        <v>158.75624216046199</v>
      </c>
      <c r="K105" s="1">
        <v>294.20907467802499</v>
      </c>
    </row>
    <row r="106" spans="1:11" x14ac:dyDescent="0.45">
      <c r="A106" s="1" t="s">
        <v>36</v>
      </c>
      <c r="B106" s="1" t="s">
        <v>10</v>
      </c>
      <c r="C106" s="1">
        <v>0.69032315789473675</v>
      </c>
      <c r="D106" s="1">
        <v>0.74075473684210535</v>
      </c>
      <c r="E106" s="1">
        <v>0.69088631578947346</v>
      </c>
      <c r="F106" s="1">
        <v>0.66785052631578912</v>
      </c>
      <c r="G106" s="1">
        <v>0.90012526315789521</v>
      </c>
      <c r="H106" s="1">
        <v>0.51835263157894762</v>
      </c>
      <c r="I106" s="1">
        <f t="shared" si="9"/>
        <v>1.7365114177505661</v>
      </c>
      <c r="J106" s="1">
        <v>228.145602424522</v>
      </c>
      <c r="K106" s="1">
        <v>462.24910431987502</v>
      </c>
    </row>
    <row r="107" spans="1:11" x14ac:dyDescent="0.45">
      <c r="A107" s="1" t="s">
        <v>37</v>
      </c>
      <c r="B107" s="1" t="s">
        <v>10</v>
      </c>
      <c r="C107" s="1">
        <v>0.64246947368421059</v>
      </c>
      <c r="D107" s="1">
        <v>0.72073263157894751</v>
      </c>
      <c r="E107" s="1">
        <v>0.64302105263157905</v>
      </c>
      <c r="F107" s="1">
        <v>0.59886315789473676</v>
      </c>
      <c r="G107" s="1">
        <v>0.86056421052631615</v>
      </c>
      <c r="H107" s="1">
        <v>0.57452105263157893</v>
      </c>
      <c r="I107" s="1">
        <f t="shared" si="9"/>
        <v>1.4978810725638754</v>
      </c>
      <c r="J107" s="1">
        <v>301.74304342878497</v>
      </c>
      <c r="K107" s="1">
        <v>664.83217047366804</v>
      </c>
    </row>
    <row r="108" spans="1:11" x14ac:dyDescent="0.45">
      <c r="A108" s="1" t="s">
        <v>38</v>
      </c>
      <c r="B108" s="1" t="s">
        <v>10</v>
      </c>
      <c r="C108" s="1">
        <v>0.49932210526315773</v>
      </c>
      <c r="D108" s="1">
        <v>0.24966421052631571</v>
      </c>
      <c r="E108" s="1">
        <v>0.5</v>
      </c>
      <c r="F108" s="1">
        <v>0.33299684210526326</v>
      </c>
      <c r="G108" s="1">
        <v>0.45263157894736844</v>
      </c>
      <c r="H108" s="1">
        <v>0.45263157894736844</v>
      </c>
      <c r="I108" s="1">
        <f t="shared" si="9"/>
        <v>1</v>
      </c>
      <c r="J108" s="1">
        <v>390.97547093841598</v>
      </c>
      <c r="K108" s="1">
        <v>869.49903457497703</v>
      </c>
    </row>
    <row r="110" spans="1:11" x14ac:dyDescent="0.45">
      <c r="A110" s="1" t="s">
        <v>8</v>
      </c>
      <c r="B110" s="1" t="s">
        <v>11</v>
      </c>
      <c r="C110" s="1">
        <v>0.67922421052631587</v>
      </c>
      <c r="D110" s="1">
        <v>0.67823052631578951</v>
      </c>
      <c r="E110" s="1">
        <v>0.67944421052631598</v>
      </c>
      <c r="F110" s="1">
        <v>0.64107052631578942</v>
      </c>
      <c r="G110" s="1">
        <v>0.7448999999999999</v>
      </c>
      <c r="H110" s="1">
        <v>0.38600842105263156</v>
      </c>
      <c r="I110" s="1">
        <f t="shared" si="9"/>
        <v>1.9297506462907816</v>
      </c>
      <c r="J110" s="1">
        <v>117.893887031212</v>
      </c>
      <c r="K110" s="1">
        <v>99.168333160118095</v>
      </c>
    </row>
    <row r="111" spans="1:11" x14ac:dyDescent="0.45">
      <c r="A111" s="1" t="s">
        <v>13</v>
      </c>
      <c r="B111" s="1" t="s">
        <v>11</v>
      </c>
      <c r="C111" s="1">
        <v>0.63832631578947374</v>
      </c>
      <c r="D111" s="1">
        <v>0.67127052631578932</v>
      </c>
      <c r="E111" s="1">
        <v>0.63865894736842099</v>
      </c>
      <c r="F111" s="1">
        <v>0.6136778947368422</v>
      </c>
      <c r="G111" s="1">
        <v>0.75094947368421061</v>
      </c>
      <c r="H111" s="1">
        <v>0.47363052631578939</v>
      </c>
      <c r="I111" s="1">
        <f t="shared" si="9"/>
        <v>1.5855174697576842</v>
      </c>
      <c r="J111" s="1">
        <v>216.185464261177</v>
      </c>
      <c r="K111" s="1">
        <v>276.30624633703798</v>
      </c>
    </row>
    <row r="112" spans="1:11" x14ac:dyDescent="0.45">
      <c r="A112" s="1" t="s">
        <v>14</v>
      </c>
      <c r="B112" s="1" t="s">
        <v>11</v>
      </c>
      <c r="C112" s="1">
        <v>0.61887263157894745</v>
      </c>
      <c r="D112" s="1">
        <v>0.65961052631578942</v>
      </c>
      <c r="E112" s="1">
        <v>0.61907999999999985</v>
      </c>
      <c r="F112" s="1">
        <v>0.59184842105263136</v>
      </c>
      <c r="G112" s="1">
        <v>0.6976673684210527</v>
      </c>
      <c r="H112" s="1">
        <v>0.45950315789473661</v>
      </c>
      <c r="I112" s="1">
        <f t="shared" si="9"/>
        <v>1.5183081039475139</v>
      </c>
      <c r="J112" s="1">
        <v>313.96283653275799</v>
      </c>
      <c r="K112" s="1">
        <v>450.33041408679702</v>
      </c>
    </row>
    <row r="113" spans="1:11" x14ac:dyDescent="0.45">
      <c r="A113" s="1" t="s">
        <v>15</v>
      </c>
      <c r="B113" s="1" t="s">
        <v>11</v>
      </c>
      <c r="C113" s="1">
        <v>0.59207578947368433</v>
      </c>
      <c r="D113" s="1">
        <v>0.63790210526315794</v>
      </c>
      <c r="E113" s="1">
        <v>0.59215052631578957</v>
      </c>
      <c r="F113" s="1">
        <v>0.55155368421052609</v>
      </c>
      <c r="G113" s="1">
        <v>0.66757789473684215</v>
      </c>
      <c r="H113" s="1">
        <v>0.48326315789473678</v>
      </c>
      <c r="I113" s="1">
        <f t="shared" si="9"/>
        <v>1.3813962099760404</v>
      </c>
      <c r="J113" s="1">
        <v>412.92246253311401</v>
      </c>
      <c r="K113" s="1">
        <v>628.31790043228898</v>
      </c>
    </row>
    <row r="114" spans="1:11" x14ac:dyDescent="0.45">
      <c r="A114" s="1" t="s">
        <v>16</v>
      </c>
      <c r="B114" s="1" t="s">
        <v>11</v>
      </c>
      <c r="C114" s="1">
        <v>0.58353052631578983</v>
      </c>
      <c r="D114" s="1">
        <v>0.62805473684210544</v>
      </c>
      <c r="E114" s="1">
        <v>0.583718947368421</v>
      </c>
      <c r="F114" s="1">
        <v>0.53895684210526307</v>
      </c>
      <c r="G114" s="1">
        <v>0.66300315789473707</v>
      </c>
      <c r="H114" s="1">
        <v>0.49555894736842104</v>
      </c>
      <c r="I114" s="1">
        <f t="shared" si="9"/>
        <v>1.3378895919758873</v>
      </c>
      <c r="J114" s="1">
        <v>510.04199588004798</v>
      </c>
      <c r="K114" s="1">
        <v>800.39880623301497</v>
      </c>
    </row>
    <row r="116" spans="1:11" x14ac:dyDescent="0.45">
      <c r="A116" s="1" t="s">
        <v>8</v>
      </c>
      <c r="B116" s="1" t="s">
        <v>11</v>
      </c>
      <c r="C116" s="1">
        <v>0.67922421052631587</v>
      </c>
      <c r="D116" s="1">
        <v>0.67823052631578951</v>
      </c>
      <c r="E116" s="1">
        <v>0.67944421052631598</v>
      </c>
      <c r="F116" s="1">
        <v>0.64107052631578942</v>
      </c>
      <c r="G116" s="1">
        <v>0.7448999999999999</v>
      </c>
      <c r="H116" s="1">
        <v>0.38600842105263156</v>
      </c>
      <c r="I116" s="1">
        <f t="shared" ref="I116" si="12">G116/H116</f>
        <v>1.9297506462907816</v>
      </c>
      <c r="J116" s="1">
        <v>117.893887031212</v>
      </c>
      <c r="K116" s="1">
        <v>99.168333160118095</v>
      </c>
    </row>
    <row r="117" spans="1:11" x14ac:dyDescent="0.45">
      <c r="A117" s="1" t="s">
        <v>17</v>
      </c>
      <c r="B117" s="1" t="s">
        <v>11</v>
      </c>
      <c r="C117" s="1">
        <v>0.67164947368421024</v>
      </c>
      <c r="D117" s="1">
        <v>0.67517052631578933</v>
      </c>
      <c r="E117" s="1">
        <v>0.67216947368421054</v>
      </c>
      <c r="F117" s="1">
        <v>0.62792631578947355</v>
      </c>
      <c r="G117" s="1">
        <v>0.82724947368421053</v>
      </c>
      <c r="H117" s="1">
        <v>0.48290315789473698</v>
      </c>
      <c r="I117" s="1">
        <f t="shared" si="9"/>
        <v>1.7130753033189607</v>
      </c>
      <c r="J117" s="1">
        <v>172.73236077436599</v>
      </c>
      <c r="K117" s="1">
        <v>199.04162237035101</v>
      </c>
    </row>
    <row r="118" spans="1:11" x14ac:dyDescent="0.45">
      <c r="A118" s="1" t="s">
        <v>18</v>
      </c>
      <c r="B118" s="1" t="s">
        <v>11</v>
      </c>
      <c r="C118" s="1">
        <v>0.64232947368421034</v>
      </c>
      <c r="D118" s="1">
        <v>0.64730210526315812</v>
      </c>
      <c r="E118" s="1">
        <v>0.64296736842105273</v>
      </c>
      <c r="F118" s="1">
        <v>0.58390947368421042</v>
      </c>
      <c r="G118" s="1">
        <v>0.81662526315789485</v>
      </c>
      <c r="H118" s="1">
        <v>0.5306905263157895</v>
      </c>
      <c r="I118" s="1">
        <f t="shared" si="9"/>
        <v>1.5387975150548641</v>
      </c>
      <c r="J118" s="1">
        <v>244.526603795055</v>
      </c>
      <c r="K118" s="1">
        <v>341.04443392358201</v>
      </c>
    </row>
    <row r="119" spans="1:11" x14ac:dyDescent="0.45">
      <c r="A119" s="1" t="s">
        <v>19</v>
      </c>
      <c r="B119" s="1" t="s">
        <v>11</v>
      </c>
      <c r="C119" s="1">
        <v>0.59424210526315768</v>
      </c>
      <c r="D119" s="1">
        <v>0.57307052631578947</v>
      </c>
      <c r="E119" s="1">
        <v>0.59479473684210504</v>
      </c>
      <c r="F119" s="1">
        <v>0.50954631578947351</v>
      </c>
      <c r="G119" s="1">
        <v>0.71925263157894748</v>
      </c>
      <c r="H119" s="1">
        <v>0.5296747368421052</v>
      </c>
      <c r="I119" s="1">
        <f t="shared" si="9"/>
        <v>1.3579137941656352</v>
      </c>
      <c r="J119" s="1">
        <v>314.18513271964099</v>
      </c>
      <c r="K119" s="1">
        <v>474.24357210593502</v>
      </c>
    </row>
    <row r="120" spans="1:11" x14ac:dyDescent="0.45">
      <c r="A120" s="1" t="s">
        <v>20</v>
      </c>
      <c r="B120" s="1" t="s">
        <v>11</v>
      </c>
      <c r="C120" s="1">
        <v>0.49983703703703702</v>
      </c>
      <c r="D120" s="1">
        <v>0.24991851851851851</v>
      </c>
      <c r="E120" s="1">
        <v>0.5</v>
      </c>
      <c r="F120" s="1">
        <v>0.33322592592592598</v>
      </c>
      <c r="G120" s="1">
        <v>0.44444444444444442</v>
      </c>
      <c r="H120" s="1">
        <v>0.44444444444444442</v>
      </c>
      <c r="I120" s="1">
        <f>G120/H120</f>
        <v>1</v>
      </c>
      <c r="J120" s="1">
        <v>394.10594886872099</v>
      </c>
      <c r="K120" s="1">
        <v>627.263880440908</v>
      </c>
    </row>
    <row r="122" spans="1:11" x14ac:dyDescent="0.45">
      <c r="A122" s="1" t="s">
        <v>21</v>
      </c>
      <c r="B122" s="1" t="s">
        <v>11</v>
      </c>
      <c r="C122" s="1">
        <v>0.74031578947368415</v>
      </c>
      <c r="D122" s="1">
        <v>0.74814736842105256</v>
      </c>
      <c r="E122" s="1">
        <v>0.74059263157894739</v>
      </c>
      <c r="F122" s="1">
        <v>0.71325789473684231</v>
      </c>
      <c r="G122" s="1">
        <v>0.82728631578947343</v>
      </c>
      <c r="H122" s="1">
        <v>0.34609684210526315</v>
      </c>
      <c r="I122" s="1">
        <f t="shared" si="9"/>
        <v>2.3903318815542951</v>
      </c>
      <c r="J122" s="1">
        <v>94.1388245720171</v>
      </c>
      <c r="K122" s="1">
        <v>201.754865629259</v>
      </c>
    </row>
    <row r="123" spans="1:11" x14ac:dyDescent="0.45">
      <c r="A123" s="1" t="s">
        <v>22</v>
      </c>
      <c r="B123" s="1" t="s">
        <v>11</v>
      </c>
      <c r="C123" s="1">
        <v>0.70436105263157889</v>
      </c>
      <c r="D123" s="1">
        <v>0.7039673684210529</v>
      </c>
      <c r="E123" s="1">
        <v>0.70464210526315818</v>
      </c>
      <c r="F123" s="1">
        <v>0.68570210526315789</v>
      </c>
      <c r="G123" s="1">
        <v>0.81959578947368417</v>
      </c>
      <c r="H123" s="1">
        <v>0.41031368421052639</v>
      </c>
      <c r="I123" s="1">
        <f t="shared" si="9"/>
        <v>1.9974858773005502</v>
      </c>
      <c r="J123" s="1">
        <v>192.650841653274</v>
      </c>
      <c r="K123" s="1">
        <v>497.89210202573997</v>
      </c>
    </row>
    <row r="124" spans="1:11" x14ac:dyDescent="0.45">
      <c r="A124" s="1" t="s">
        <v>23</v>
      </c>
      <c r="B124" s="1" t="s">
        <v>11</v>
      </c>
      <c r="C124" s="1">
        <v>0.7076199999999998</v>
      </c>
      <c r="D124" s="1">
        <v>0.74053789473684195</v>
      </c>
      <c r="E124" s="1">
        <v>0.70794631578947365</v>
      </c>
      <c r="F124" s="1">
        <v>0.68739473684210517</v>
      </c>
      <c r="G124" s="1">
        <v>0.85237473684210552</v>
      </c>
      <c r="H124" s="1">
        <v>0.43648315789473696</v>
      </c>
      <c r="I124" s="1">
        <f t="shared" si="9"/>
        <v>1.952823886615267</v>
      </c>
      <c r="J124" s="1">
        <v>289.93744520329301</v>
      </c>
      <c r="K124" s="1">
        <v>787.73530911109299</v>
      </c>
    </row>
    <row r="125" spans="1:11" x14ac:dyDescent="0.45">
      <c r="A125" s="1" t="s">
        <v>24</v>
      </c>
      <c r="B125" s="1" t="s">
        <v>11</v>
      </c>
      <c r="C125" s="1">
        <v>0.70200421052631579</v>
      </c>
      <c r="D125" s="1">
        <v>0.72837157894736859</v>
      </c>
      <c r="E125" s="1">
        <v>0.70238947368421045</v>
      </c>
      <c r="F125" s="1">
        <v>0.68239473684210494</v>
      </c>
      <c r="G125" s="1">
        <v>0.85602842105263144</v>
      </c>
      <c r="H125" s="1">
        <v>0.45124526315789493</v>
      </c>
      <c r="I125" s="1">
        <f t="shared" si="9"/>
        <v>1.8970358050120941</v>
      </c>
      <c r="J125" s="1">
        <v>389.35465792654298</v>
      </c>
      <c r="K125" s="1">
        <v>1083.8441501149</v>
      </c>
    </row>
    <row r="126" spans="1:11" x14ac:dyDescent="0.45">
      <c r="A126" s="1" t="s">
        <v>25</v>
      </c>
      <c r="B126" s="1" t="s">
        <v>11</v>
      </c>
      <c r="C126" s="1">
        <v>0.69996315789473684</v>
      </c>
      <c r="D126" s="1">
        <v>0.74462105263157885</v>
      </c>
      <c r="E126" s="1">
        <v>0.70041263157894729</v>
      </c>
      <c r="F126" s="1">
        <v>0.67654947368421026</v>
      </c>
      <c r="G126" s="1">
        <v>0.8663715789473686</v>
      </c>
      <c r="H126" s="1">
        <v>0.46554210526315803</v>
      </c>
      <c r="I126" s="1">
        <f t="shared" si="9"/>
        <v>1.8609951047448925</v>
      </c>
      <c r="J126" s="1">
        <v>485.29565021588201</v>
      </c>
      <c r="K126" s="1">
        <v>1365.2073065352599</v>
      </c>
    </row>
    <row r="128" spans="1:11" x14ac:dyDescent="0.45">
      <c r="A128" s="1" t="s">
        <v>21</v>
      </c>
      <c r="B128" s="1" t="s">
        <v>11</v>
      </c>
      <c r="C128" s="1">
        <v>0.74031578947368415</v>
      </c>
      <c r="D128" s="1">
        <v>0.74814736842105256</v>
      </c>
      <c r="E128" s="1">
        <v>0.74059263157894739</v>
      </c>
      <c r="F128" s="1">
        <v>0.71325789473684231</v>
      </c>
      <c r="G128" s="1">
        <v>0.82728631578947343</v>
      </c>
      <c r="H128" s="1">
        <v>0.34609684210526315</v>
      </c>
      <c r="I128" s="1">
        <f t="shared" ref="I128" si="13">G128/H128</f>
        <v>2.3903318815542951</v>
      </c>
      <c r="J128" s="1">
        <v>94.1388245720171</v>
      </c>
      <c r="K128" s="1">
        <v>201.754865629259</v>
      </c>
    </row>
    <row r="129" spans="1:11" x14ac:dyDescent="0.45">
      <c r="A129" s="1" t="s">
        <v>26</v>
      </c>
      <c r="B129" s="1" t="s">
        <v>11</v>
      </c>
      <c r="C129" s="1">
        <v>0.73094631578947378</v>
      </c>
      <c r="D129" s="1">
        <v>0.75146526315789486</v>
      </c>
      <c r="E129" s="1">
        <v>0.73117157894736862</v>
      </c>
      <c r="F129" s="1">
        <v>0.71172631578947343</v>
      </c>
      <c r="G129" s="1">
        <v>0.82437263157894713</v>
      </c>
      <c r="H129" s="1">
        <v>0.36203157894736837</v>
      </c>
      <c r="I129" s="1">
        <f t="shared" si="9"/>
        <v>2.2770738231616896</v>
      </c>
      <c r="J129" s="1">
        <v>154.00379100854099</v>
      </c>
      <c r="K129" s="1">
        <v>386.26049297494001</v>
      </c>
    </row>
    <row r="130" spans="1:11" x14ac:dyDescent="0.45">
      <c r="A130" s="1" t="s">
        <v>27</v>
      </c>
      <c r="B130" s="1" t="s">
        <v>11</v>
      </c>
      <c r="C130" s="1">
        <v>0.71649263157894749</v>
      </c>
      <c r="D130" s="1">
        <v>0.71102315789473669</v>
      </c>
      <c r="E130" s="1">
        <v>0.71677052631578975</v>
      </c>
      <c r="F130" s="1">
        <v>0.68181578947368426</v>
      </c>
      <c r="G130" s="1">
        <v>0.81138947368421066</v>
      </c>
      <c r="H130" s="1">
        <v>0.37785157894736837</v>
      </c>
      <c r="I130" s="1">
        <f t="shared" ref="I130:I144" si="14">G130/H130</f>
        <v>2.147376162737249</v>
      </c>
      <c r="J130" s="1">
        <v>220.24573428003899</v>
      </c>
      <c r="K130" s="1">
        <v>602.29644814342998</v>
      </c>
    </row>
    <row r="131" spans="1:11" x14ac:dyDescent="0.45">
      <c r="A131" s="1" t="s">
        <v>28</v>
      </c>
      <c r="B131" s="1" t="s">
        <v>11</v>
      </c>
      <c r="C131" s="1">
        <v>0.6474557894736841</v>
      </c>
      <c r="D131" s="1">
        <v>0.59751052631578938</v>
      </c>
      <c r="E131" s="1">
        <v>0.64759052631578951</v>
      </c>
      <c r="F131" s="1">
        <v>0.58033157894736842</v>
      </c>
      <c r="G131" s="1">
        <v>0.70412947368421064</v>
      </c>
      <c r="H131" s="1">
        <v>0.4089463157894736</v>
      </c>
      <c r="I131" s="1">
        <f t="shared" si="14"/>
        <v>1.7218139557630785</v>
      </c>
      <c r="J131" s="1">
        <v>299.68831197278899</v>
      </c>
      <c r="K131" s="1">
        <v>855.32524165823702</v>
      </c>
    </row>
    <row r="132" spans="1:11" x14ac:dyDescent="0.45">
      <c r="A132" s="1" t="s">
        <v>29</v>
      </c>
      <c r="B132" s="1" t="s">
        <v>11</v>
      </c>
      <c r="C132" s="1">
        <v>0.49979157894736814</v>
      </c>
      <c r="D132" s="1">
        <v>0.24989789473684207</v>
      </c>
      <c r="E132" s="1">
        <v>0.5</v>
      </c>
      <c r="F132" s="1">
        <v>0.33320842105263165</v>
      </c>
      <c r="G132" s="1">
        <v>0.43157894736842106</v>
      </c>
      <c r="H132" s="1">
        <v>0.43157894736842106</v>
      </c>
      <c r="I132" s="1">
        <f t="shared" si="14"/>
        <v>1</v>
      </c>
      <c r="J132" s="1">
        <v>387.39808021485902</v>
      </c>
      <c r="K132" s="1">
        <v>1111.7174057612999</v>
      </c>
    </row>
    <row r="134" spans="1:11" x14ac:dyDescent="0.45">
      <c r="A134" s="1" t="s">
        <v>30</v>
      </c>
      <c r="B134" s="1" t="s">
        <v>11</v>
      </c>
      <c r="C134" s="1">
        <v>0.72857894736842077</v>
      </c>
      <c r="D134" s="1">
        <v>0.75662315789473678</v>
      </c>
      <c r="E134" s="1">
        <v>0.72904842105263135</v>
      </c>
      <c r="F134" s="1">
        <v>0.70400105263157919</v>
      </c>
      <c r="G134" s="1">
        <v>0.88633578947368397</v>
      </c>
      <c r="H134" s="1">
        <v>0.42824315789473683</v>
      </c>
      <c r="I134" s="1">
        <f t="shared" si="14"/>
        <v>2.0697021613397206</v>
      </c>
      <c r="J134" s="1">
        <v>101.50360398273</v>
      </c>
      <c r="K134" s="1">
        <v>146.625254818109</v>
      </c>
    </row>
    <row r="135" spans="1:11" x14ac:dyDescent="0.45">
      <c r="A135" s="1" t="s">
        <v>31</v>
      </c>
      <c r="B135" s="1" t="s">
        <v>11</v>
      </c>
      <c r="C135" s="1">
        <v>0.69396105363157901</v>
      </c>
      <c r="D135" s="1">
        <v>0.73100526315789482</v>
      </c>
      <c r="E135" s="1">
        <v>0.6933978947368421</v>
      </c>
      <c r="F135" s="1">
        <v>0.67242000000000024</v>
      </c>
      <c r="G135" s="1">
        <v>0.8486768421052634</v>
      </c>
      <c r="H135" s="1">
        <v>0.45788315789473699</v>
      </c>
      <c r="I135" s="1">
        <f t="shared" si="14"/>
        <v>1.8534790534933065</v>
      </c>
      <c r="J135" s="1">
        <v>199.175629209589</v>
      </c>
      <c r="K135" s="1">
        <v>382.13239634282002</v>
      </c>
    </row>
    <row r="136" spans="1:11" x14ac:dyDescent="0.45">
      <c r="A136" s="1" t="s">
        <v>32</v>
      </c>
      <c r="B136" s="1" t="s">
        <v>11</v>
      </c>
      <c r="C136" s="1">
        <v>0.69266210526315797</v>
      </c>
      <c r="D136" s="1">
        <v>0.72509263157894743</v>
      </c>
      <c r="E136" s="1">
        <v>0.69407894736842124</v>
      </c>
      <c r="F136" s="1">
        <v>0.66969263157894743</v>
      </c>
      <c r="G136" s="1">
        <v>0.84577368421052623</v>
      </c>
      <c r="H136" s="1">
        <v>0.45761894736842107</v>
      </c>
      <c r="I136" s="1">
        <f t="shared" si="14"/>
        <v>1.8482051258459116</v>
      </c>
      <c r="J136" s="1">
        <v>297.269970783134</v>
      </c>
      <c r="K136" s="1">
        <v>615.670677684201</v>
      </c>
    </row>
    <row r="137" spans="1:11" x14ac:dyDescent="0.45">
      <c r="A137" s="1" t="s">
        <v>33</v>
      </c>
      <c r="B137" s="1" t="s">
        <v>11</v>
      </c>
      <c r="C137" s="1">
        <v>0.67644947368421038</v>
      </c>
      <c r="D137" s="1">
        <v>0.69469052631578954</v>
      </c>
      <c r="E137" s="1">
        <v>0.67695789473684198</v>
      </c>
      <c r="F137" s="1">
        <v>0.64402736842105224</v>
      </c>
      <c r="G137" s="1">
        <v>0.84745894736842087</v>
      </c>
      <c r="H137" s="1">
        <v>0.49354000000000015</v>
      </c>
      <c r="I137" s="1">
        <f t="shared" si="14"/>
        <v>1.7171028637363144</v>
      </c>
      <c r="J137" s="1">
        <v>395.07866871779299</v>
      </c>
      <c r="K137" s="1">
        <v>846.39722190017699</v>
      </c>
    </row>
    <row r="138" spans="1:11" x14ac:dyDescent="0.45">
      <c r="A138" s="1" t="s">
        <v>34</v>
      </c>
      <c r="B138" s="1" t="s">
        <v>11</v>
      </c>
      <c r="C138" s="1">
        <v>0.66759894736842118</v>
      </c>
      <c r="D138" s="1">
        <v>0.6865863157894736</v>
      </c>
      <c r="E138" s="1">
        <v>0.66814315789473688</v>
      </c>
      <c r="F138" s="1">
        <v>0.63049157894736818</v>
      </c>
      <c r="G138" s="1">
        <v>0.87199894736842076</v>
      </c>
      <c r="H138" s="1">
        <v>0.53570842105263172</v>
      </c>
      <c r="I138" s="1">
        <f t="shared" si="14"/>
        <v>1.6277491879911097</v>
      </c>
      <c r="J138" s="1">
        <v>493.81878303465197</v>
      </c>
      <c r="K138" s="1">
        <v>1082.4600654794699</v>
      </c>
    </row>
    <row r="140" spans="1:11" x14ac:dyDescent="0.45">
      <c r="A140" s="1" t="s">
        <v>30</v>
      </c>
      <c r="B140" s="1" t="s">
        <v>11</v>
      </c>
      <c r="C140" s="1">
        <v>0.72857894736842077</v>
      </c>
      <c r="D140" s="1">
        <v>0.75662315789473678</v>
      </c>
      <c r="E140" s="1">
        <v>0.72904842105263135</v>
      </c>
      <c r="F140" s="1">
        <v>0.70400105263157919</v>
      </c>
      <c r="G140" s="1">
        <v>0.88633578947368397</v>
      </c>
      <c r="H140" s="1">
        <v>0.42824315789473683</v>
      </c>
      <c r="I140" s="1">
        <f t="shared" ref="I140" si="15">G140/H140</f>
        <v>2.0697021613397206</v>
      </c>
      <c r="J140" s="1">
        <v>101.50360398273</v>
      </c>
      <c r="K140" s="1">
        <v>146.625254818109</v>
      </c>
    </row>
    <row r="141" spans="1:11" x14ac:dyDescent="0.45">
      <c r="A141" s="1" t="s">
        <v>35</v>
      </c>
      <c r="B141" s="1" t="s">
        <v>11</v>
      </c>
      <c r="C141" s="1">
        <v>0.70062736842105267</v>
      </c>
      <c r="D141" s="1">
        <v>0.71345157894736833</v>
      </c>
      <c r="E141" s="1">
        <v>0.70095894736842135</v>
      </c>
      <c r="F141" s="1">
        <v>0.66919473684210529</v>
      </c>
      <c r="G141" s="1">
        <v>0.78998947368421057</v>
      </c>
      <c r="H141" s="1">
        <v>0.38807263157894728</v>
      </c>
      <c r="I141" s="1">
        <f t="shared" si="14"/>
        <v>2.0356742769259153</v>
      </c>
      <c r="J141" s="1">
        <v>158.75624216046199</v>
      </c>
      <c r="K141" s="1">
        <v>294.20907467802499</v>
      </c>
    </row>
    <row r="142" spans="1:11" x14ac:dyDescent="0.45">
      <c r="A142" s="1" t="s">
        <v>36</v>
      </c>
      <c r="B142" s="1" t="s">
        <v>11</v>
      </c>
      <c r="C142" s="1">
        <v>0.65152842105263165</v>
      </c>
      <c r="D142" s="1">
        <v>0.61067894736842121</v>
      </c>
      <c r="E142" s="1">
        <v>0.65196631578947373</v>
      </c>
      <c r="F142" s="1">
        <v>0.59285894736842071</v>
      </c>
      <c r="G142" s="1">
        <v>0.76265263157894747</v>
      </c>
      <c r="H142" s="1">
        <v>0.45872315789473689</v>
      </c>
      <c r="I142" s="1">
        <f t="shared" si="14"/>
        <v>1.6625553309300187</v>
      </c>
      <c r="J142" s="1">
        <v>228.145602424522</v>
      </c>
      <c r="K142" s="1">
        <v>462.24910431987502</v>
      </c>
    </row>
    <row r="143" spans="1:11" x14ac:dyDescent="0.45">
      <c r="A143" s="1" t="s">
        <v>37</v>
      </c>
      <c r="B143" s="1" t="s">
        <v>11</v>
      </c>
      <c r="C143" s="1">
        <v>0.64711578947368409</v>
      </c>
      <c r="D143" s="1">
        <v>0.59265684210526315</v>
      </c>
      <c r="E143" s="1">
        <v>0.64742000000000011</v>
      </c>
      <c r="F143" s="1">
        <v>0.57958315789473669</v>
      </c>
      <c r="G143" s="1">
        <v>0.74493263157894729</v>
      </c>
      <c r="H143" s="1">
        <v>0.45009368421052637</v>
      </c>
      <c r="I143" s="1">
        <f t="shared" si="14"/>
        <v>1.6550612854867639</v>
      </c>
      <c r="J143" s="1">
        <v>301.74304342878497</v>
      </c>
      <c r="K143" s="1">
        <v>664.83217047366804</v>
      </c>
    </row>
    <row r="144" spans="1:11" x14ac:dyDescent="0.45">
      <c r="A144" s="1" t="s">
        <v>38</v>
      </c>
      <c r="B144" s="1" t="s">
        <v>11</v>
      </c>
      <c r="C144" s="1">
        <v>0.50345578947368408</v>
      </c>
      <c r="D144" s="1">
        <v>0.26063263157894734</v>
      </c>
      <c r="E144" s="1">
        <v>0.50455894736842111</v>
      </c>
      <c r="F144" s="1">
        <v>0.34052947368421066</v>
      </c>
      <c r="G144" s="1">
        <v>0.7777252631578947</v>
      </c>
      <c r="H144" s="1">
        <v>0.76860947368421051</v>
      </c>
      <c r="I144" s="1">
        <f t="shared" si="14"/>
        <v>1.0118601055357659</v>
      </c>
      <c r="J144" s="1">
        <v>390.97547093841598</v>
      </c>
      <c r="K144" s="1">
        <v>869.49903457497703</v>
      </c>
    </row>
    <row r="149" spans="1:8" x14ac:dyDescent="0.45">
      <c r="A149" s="1" t="s">
        <v>39</v>
      </c>
      <c r="B149" s="1" t="s">
        <v>40</v>
      </c>
      <c r="C149" s="1" t="s">
        <v>41</v>
      </c>
      <c r="D149" s="1" t="s">
        <v>42</v>
      </c>
      <c r="E149" s="1" t="s">
        <v>43</v>
      </c>
      <c r="F149" s="1" t="s">
        <v>44</v>
      </c>
      <c r="G149" s="1" t="s">
        <v>45</v>
      </c>
      <c r="H149" s="1" t="s">
        <v>46</v>
      </c>
    </row>
    <row r="150" spans="1:8" x14ac:dyDescent="0.45">
      <c r="A150" s="1" t="s">
        <v>47</v>
      </c>
      <c r="B150" s="1">
        <v>100</v>
      </c>
      <c r="C150" s="1">
        <v>1.4999999999999999E-2</v>
      </c>
      <c r="D150" s="1">
        <v>4.4999999999999998E-2</v>
      </c>
      <c r="E150" s="1">
        <v>1</v>
      </c>
      <c r="F150" s="1">
        <v>1</v>
      </c>
      <c r="G150" s="1">
        <v>117.893887031212</v>
      </c>
      <c r="H150" s="1">
        <v>99.168333160118095</v>
      </c>
    </row>
    <row r="151" spans="1:8" x14ac:dyDescent="0.45">
      <c r="A151" s="1" t="s">
        <v>48</v>
      </c>
      <c r="B151" s="1">
        <v>100</v>
      </c>
      <c r="C151" s="1">
        <v>1.4999999999999999E-2</v>
      </c>
      <c r="D151" s="1">
        <v>4.4999999999999998E-2</v>
      </c>
      <c r="E151" s="1">
        <v>1</v>
      </c>
      <c r="F151" s="1">
        <v>3</v>
      </c>
      <c r="G151" s="1">
        <v>216.185464261177</v>
      </c>
      <c r="H151" s="1">
        <v>276.30624633703798</v>
      </c>
    </row>
    <row r="152" spans="1:8" x14ac:dyDescent="0.45">
      <c r="A152" s="1" t="s">
        <v>49</v>
      </c>
      <c r="B152" s="1">
        <v>100</v>
      </c>
      <c r="C152" s="1">
        <v>1.4999999999999999E-2</v>
      </c>
      <c r="D152" s="1">
        <v>4.4999999999999998E-2</v>
      </c>
      <c r="E152" s="1">
        <v>1</v>
      </c>
      <c r="F152" s="1">
        <v>5</v>
      </c>
      <c r="G152" s="1">
        <v>313.96283653275799</v>
      </c>
      <c r="H152" s="1">
        <v>450.33041408679702</v>
      </c>
    </row>
    <row r="153" spans="1:8" x14ac:dyDescent="0.45">
      <c r="A153" s="1" t="s">
        <v>50</v>
      </c>
      <c r="B153" s="1">
        <v>100</v>
      </c>
      <c r="C153" s="1">
        <v>1.4999999999999999E-2</v>
      </c>
      <c r="D153" s="1">
        <v>4.4999999999999998E-2</v>
      </c>
      <c r="E153" s="1">
        <v>1</v>
      </c>
      <c r="F153" s="1">
        <v>7</v>
      </c>
      <c r="G153" s="1">
        <v>412.92246253311401</v>
      </c>
      <c r="H153" s="1">
        <v>628.31790043228898</v>
      </c>
    </row>
    <row r="154" spans="1:8" x14ac:dyDescent="0.45">
      <c r="A154" s="1" t="s">
        <v>51</v>
      </c>
      <c r="B154" s="1">
        <v>100</v>
      </c>
      <c r="C154" s="1">
        <v>1.4999999999999999E-2</v>
      </c>
      <c r="D154" s="1">
        <v>4.4999999999999998E-2</v>
      </c>
      <c r="E154" s="1">
        <v>1</v>
      </c>
      <c r="F154" s="1">
        <v>9</v>
      </c>
      <c r="G154" s="1">
        <v>510.04199588004798</v>
      </c>
      <c r="H154" s="1">
        <v>800.39880623301497</v>
      </c>
    </row>
    <row r="156" spans="1:8" x14ac:dyDescent="0.45">
      <c r="A156" s="1" t="s">
        <v>47</v>
      </c>
      <c r="B156" s="1">
        <v>100</v>
      </c>
      <c r="C156" s="1">
        <v>1.4999999999999999E-2</v>
      </c>
      <c r="D156" s="1">
        <v>4.4999999999999998E-2</v>
      </c>
      <c r="E156" s="1">
        <v>1</v>
      </c>
      <c r="F156" s="1">
        <v>1</v>
      </c>
      <c r="G156" s="1">
        <v>117.893887031212</v>
      </c>
      <c r="H156" s="1">
        <v>99.168333160118095</v>
      </c>
    </row>
    <row r="157" spans="1:8" x14ac:dyDescent="0.45">
      <c r="A157" s="1" t="s">
        <v>52</v>
      </c>
      <c r="B157" s="1">
        <v>100</v>
      </c>
      <c r="C157" s="1">
        <v>1.4999999999999999E-2</v>
      </c>
      <c r="D157" s="1">
        <v>4.4999999999999998E-2</v>
      </c>
      <c r="E157" s="1">
        <v>3</v>
      </c>
      <c r="F157" s="1">
        <v>1</v>
      </c>
      <c r="G157" s="1">
        <v>172.73236077436599</v>
      </c>
      <c r="H157" s="1">
        <v>199.04162237035101</v>
      </c>
    </row>
    <row r="158" spans="1:8" x14ac:dyDescent="0.45">
      <c r="A158" s="1" t="s">
        <v>53</v>
      </c>
      <c r="B158" s="1">
        <v>100</v>
      </c>
      <c r="C158" s="1">
        <v>1.4999999999999999E-2</v>
      </c>
      <c r="D158" s="1">
        <v>4.4999999999999998E-2</v>
      </c>
      <c r="E158" s="1">
        <v>5</v>
      </c>
      <c r="F158" s="1">
        <v>1</v>
      </c>
      <c r="G158" s="1">
        <v>244.526603795055</v>
      </c>
      <c r="H158" s="1">
        <v>341.04443392358201</v>
      </c>
    </row>
    <row r="159" spans="1:8" x14ac:dyDescent="0.45">
      <c r="A159" s="1" t="s">
        <v>54</v>
      </c>
      <c r="B159" s="1">
        <v>100</v>
      </c>
      <c r="C159" s="1">
        <v>1.4999999999999999E-2</v>
      </c>
      <c r="D159" s="1">
        <v>4.4999999999999998E-2</v>
      </c>
      <c r="E159" s="1">
        <v>7</v>
      </c>
      <c r="F159" s="1">
        <v>1</v>
      </c>
      <c r="G159" s="1">
        <v>314.18513271964099</v>
      </c>
      <c r="H159" s="1">
        <v>474.24357210593502</v>
      </c>
    </row>
    <row r="160" spans="1:8" x14ac:dyDescent="0.45">
      <c r="A160" s="1" t="s">
        <v>55</v>
      </c>
      <c r="B160" s="1">
        <v>100</v>
      </c>
      <c r="C160" s="1">
        <v>1.4999999999999999E-2</v>
      </c>
      <c r="D160" s="1">
        <v>4.4999999999999998E-2</v>
      </c>
      <c r="E160" s="1">
        <v>9</v>
      </c>
      <c r="F160" s="1">
        <v>1</v>
      </c>
      <c r="G160" s="1">
        <v>394.10594886872099</v>
      </c>
      <c r="H160" s="1">
        <v>627.263880440908</v>
      </c>
    </row>
    <row r="162" spans="1:8" x14ac:dyDescent="0.45">
      <c r="A162" s="1" t="s">
        <v>56</v>
      </c>
      <c r="B162" s="1">
        <v>100</v>
      </c>
      <c r="C162" s="1">
        <v>2.5000000000000001E-2</v>
      </c>
      <c r="D162" s="1">
        <v>7.4999999999999997E-2</v>
      </c>
      <c r="E162" s="1">
        <v>1</v>
      </c>
      <c r="F162" s="1">
        <v>1</v>
      </c>
      <c r="G162" s="1">
        <v>94.1388245720171</v>
      </c>
      <c r="H162" s="1">
        <v>201.754865629259</v>
      </c>
    </row>
    <row r="163" spans="1:8" x14ac:dyDescent="0.45">
      <c r="A163" s="1" t="s">
        <v>57</v>
      </c>
      <c r="B163" s="1">
        <v>100</v>
      </c>
      <c r="C163" s="1">
        <v>2.5000000000000001E-2</v>
      </c>
      <c r="D163" s="1">
        <v>7.4999999999999997E-2</v>
      </c>
      <c r="E163" s="1">
        <v>1</v>
      </c>
      <c r="F163" s="1">
        <v>3</v>
      </c>
      <c r="G163" s="1">
        <v>192.650841653274</v>
      </c>
      <c r="H163" s="1">
        <v>497.89210202573997</v>
      </c>
    </row>
    <row r="164" spans="1:8" x14ac:dyDescent="0.45">
      <c r="A164" s="1" t="s">
        <v>58</v>
      </c>
      <c r="B164" s="1">
        <v>100</v>
      </c>
      <c r="C164" s="1">
        <v>2.5000000000000001E-2</v>
      </c>
      <c r="D164" s="1">
        <v>7.4999999999999997E-2</v>
      </c>
      <c r="E164" s="1">
        <v>1</v>
      </c>
      <c r="F164" s="1">
        <v>5</v>
      </c>
      <c r="G164" s="1">
        <v>289.93744520329301</v>
      </c>
      <c r="H164" s="1">
        <v>787.73530911109299</v>
      </c>
    </row>
    <row r="165" spans="1:8" x14ac:dyDescent="0.45">
      <c r="A165" s="1" t="s">
        <v>59</v>
      </c>
      <c r="B165" s="1">
        <v>100</v>
      </c>
      <c r="C165" s="1">
        <v>2.5000000000000001E-2</v>
      </c>
      <c r="D165" s="1">
        <v>7.4999999999999997E-2</v>
      </c>
      <c r="E165" s="1">
        <v>1</v>
      </c>
      <c r="F165" s="1">
        <v>7</v>
      </c>
      <c r="G165" s="1">
        <v>389.35465792654298</v>
      </c>
      <c r="H165" s="1">
        <v>1083.8441501149</v>
      </c>
    </row>
    <row r="166" spans="1:8" x14ac:dyDescent="0.45">
      <c r="A166" s="1" t="s">
        <v>60</v>
      </c>
      <c r="B166" s="1">
        <v>100</v>
      </c>
      <c r="C166" s="1">
        <v>2.5000000000000001E-2</v>
      </c>
      <c r="D166" s="1">
        <v>7.4999999999999997E-2</v>
      </c>
      <c r="E166" s="1">
        <v>1</v>
      </c>
      <c r="F166" s="1">
        <v>9</v>
      </c>
      <c r="G166" s="1">
        <v>485.29565021588201</v>
      </c>
      <c r="H166" s="1">
        <v>1365.2073065352599</v>
      </c>
    </row>
    <row r="168" spans="1:8" x14ac:dyDescent="0.45">
      <c r="A168" s="1" t="s">
        <v>56</v>
      </c>
      <c r="B168" s="1">
        <v>100</v>
      </c>
      <c r="C168" s="1">
        <v>2.5000000000000001E-2</v>
      </c>
      <c r="D168" s="1">
        <v>7.4999999999999997E-2</v>
      </c>
      <c r="E168" s="1">
        <v>1</v>
      </c>
      <c r="F168" s="1">
        <v>1</v>
      </c>
      <c r="G168" s="1">
        <v>94.1388245720171</v>
      </c>
      <c r="H168" s="1">
        <v>201.754865629259</v>
      </c>
    </row>
    <row r="169" spans="1:8" x14ac:dyDescent="0.45">
      <c r="A169" s="1" t="s">
        <v>61</v>
      </c>
      <c r="B169" s="1">
        <v>100</v>
      </c>
      <c r="C169" s="1">
        <v>2.5000000000000001E-2</v>
      </c>
      <c r="D169" s="1">
        <v>7.4999999999999997E-2</v>
      </c>
      <c r="E169" s="1">
        <v>3</v>
      </c>
      <c r="F169" s="1">
        <v>1</v>
      </c>
      <c r="G169" s="1">
        <v>154.00379100854099</v>
      </c>
      <c r="H169" s="1">
        <v>386.26049297494001</v>
      </c>
    </row>
    <row r="170" spans="1:8" x14ac:dyDescent="0.45">
      <c r="A170" s="1" t="s">
        <v>62</v>
      </c>
      <c r="B170" s="1">
        <v>100</v>
      </c>
      <c r="C170" s="1">
        <v>2.5000000000000001E-2</v>
      </c>
      <c r="D170" s="1">
        <v>7.4999999999999997E-2</v>
      </c>
      <c r="E170" s="1">
        <v>5</v>
      </c>
      <c r="F170" s="1">
        <v>1</v>
      </c>
      <c r="G170" s="1">
        <v>220.24573428003899</v>
      </c>
      <c r="H170" s="1">
        <v>602.29644814342998</v>
      </c>
    </row>
    <row r="171" spans="1:8" x14ac:dyDescent="0.45">
      <c r="A171" s="1" t="s">
        <v>63</v>
      </c>
      <c r="B171" s="1">
        <v>100</v>
      </c>
      <c r="C171" s="1">
        <v>2.5000000000000001E-2</v>
      </c>
      <c r="D171" s="1">
        <v>7.4999999999999997E-2</v>
      </c>
      <c r="E171" s="1">
        <v>7</v>
      </c>
      <c r="F171" s="1">
        <v>1</v>
      </c>
      <c r="G171" s="1">
        <v>299.68831197278899</v>
      </c>
      <c r="H171" s="1">
        <v>855.32524165823702</v>
      </c>
    </row>
    <row r="172" spans="1:8" x14ac:dyDescent="0.45">
      <c r="A172" s="1" t="s">
        <v>64</v>
      </c>
      <c r="B172" s="1">
        <v>100</v>
      </c>
      <c r="C172" s="1">
        <v>2.5000000000000001E-2</v>
      </c>
      <c r="D172" s="1">
        <v>7.4999999999999997E-2</v>
      </c>
      <c r="E172" s="1">
        <v>9</v>
      </c>
      <c r="F172" s="1">
        <v>1</v>
      </c>
      <c r="G172" s="1">
        <v>387.39808021485902</v>
      </c>
      <c r="H172" s="1">
        <v>1111.7174057612999</v>
      </c>
    </row>
    <row r="174" spans="1:8" x14ac:dyDescent="0.45">
      <c r="A174" s="1" t="s">
        <v>65</v>
      </c>
      <c r="B174" s="1">
        <v>100</v>
      </c>
      <c r="C174" s="1">
        <v>0.02</v>
      </c>
      <c r="D174" s="1">
        <v>0.06</v>
      </c>
      <c r="E174" s="1">
        <v>1</v>
      </c>
      <c r="F174" s="1">
        <v>1</v>
      </c>
      <c r="G174" s="1">
        <v>101.50360398273</v>
      </c>
      <c r="H174" s="1">
        <v>146.625254818109</v>
      </c>
    </row>
    <row r="175" spans="1:8" x14ac:dyDescent="0.45">
      <c r="A175" s="1" t="s">
        <v>66</v>
      </c>
      <c r="B175" s="1">
        <v>100</v>
      </c>
      <c r="C175" s="1">
        <v>0.02</v>
      </c>
      <c r="D175" s="1">
        <v>0.06</v>
      </c>
      <c r="E175" s="1">
        <v>1</v>
      </c>
      <c r="F175" s="1">
        <v>3</v>
      </c>
      <c r="G175" s="1">
        <v>199.175629209589</v>
      </c>
      <c r="H175" s="1">
        <v>382.13239634282002</v>
      </c>
    </row>
    <row r="176" spans="1:8" x14ac:dyDescent="0.45">
      <c r="A176" s="1" t="s">
        <v>67</v>
      </c>
      <c r="B176" s="1">
        <v>100</v>
      </c>
      <c r="C176" s="1">
        <v>0.02</v>
      </c>
      <c r="D176" s="1">
        <v>0.06</v>
      </c>
      <c r="E176" s="1">
        <v>1</v>
      </c>
      <c r="F176" s="1">
        <v>5</v>
      </c>
      <c r="G176" s="1">
        <v>297.269970783134</v>
      </c>
      <c r="H176" s="1">
        <v>615.670677684201</v>
      </c>
    </row>
    <row r="177" spans="1:8" x14ac:dyDescent="0.45">
      <c r="A177" s="1" t="s">
        <v>68</v>
      </c>
      <c r="B177" s="1">
        <v>100</v>
      </c>
      <c r="C177" s="1">
        <v>0.02</v>
      </c>
      <c r="D177" s="1">
        <v>0.06</v>
      </c>
      <c r="E177" s="1">
        <v>1</v>
      </c>
      <c r="F177" s="1">
        <v>7</v>
      </c>
      <c r="G177" s="1">
        <v>395.07866871779299</v>
      </c>
      <c r="H177" s="1">
        <v>846.39722190017699</v>
      </c>
    </row>
    <row r="178" spans="1:8" x14ac:dyDescent="0.45">
      <c r="A178" s="1" t="s">
        <v>69</v>
      </c>
      <c r="B178" s="1">
        <v>100</v>
      </c>
      <c r="C178" s="1">
        <v>0.02</v>
      </c>
      <c r="D178" s="1">
        <v>0.06</v>
      </c>
      <c r="E178" s="1">
        <v>1</v>
      </c>
      <c r="F178" s="1">
        <v>9</v>
      </c>
      <c r="G178" s="1">
        <v>493.81878303465197</v>
      </c>
      <c r="H178" s="1">
        <v>1082.4600654794699</v>
      </c>
    </row>
    <row r="180" spans="1:8" x14ac:dyDescent="0.45">
      <c r="A180" s="1" t="s">
        <v>65</v>
      </c>
      <c r="B180" s="1">
        <v>100</v>
      </c>
      <c r="C180" s="1">
        <v>0.02</v>
      </c>
      <c r="D180" s="1">
        <v>0.06</v>
      </c>
      <c r="E180" s="1">
        <v>1</v>
      </c>
      <c r="F180" s="1">
        <v>1</v>
      </c>
      <c r="G180" s="1">
        <v>101.50360398273</v>
      </c>
      <c r="H180" s="1">
        <v>146.625254818109</v>
      </c>
    </row>
    <row r="181" spans="1:8" x14ac:dyDescent="0.45">
      <c r="A181" s="1" t="s">
        <v>70</v>
      </c>
      <c r="B181" s="1">
        <v>100</v>
      </c>
      <c r="C181" s="1">
        <v>0.02</v>
      </c>
      <c r="D181" s="1">
        <v>0.06</v>
      </c>
      <c r="E181" s="1">
        <v>3</v>
      </c>
      <c r="F181" s="1">
        <v>1</v>
      </c>
      <c r="G181" s="1">
        <v>158.75624216046199</v>
      </c>
      <c r="H181" s="1">
        <v>294.20907467802499</v>
      </c>
    </row>
    <row r="182" spans="1:8" x14ac:dyDescent="0.45">
      <c r="A182" s="1" t="s">
        <v>71</v>
      </c>
      <c r="B182" s="1">
        <v>100</v>
      </c>
      <c r="C182" s="1">
        <v>0.02</v>
      </c>
      <c r="D182" s="1">
        <v>0.06</v>
      </c>
      <c r="E182" s="1">
        <v>5</v>
      </c>
      <c r="F182" s="1">
        <v>1</v>
      </c>
      <c r="G182" s="1">
        <v>228.145602424522</v>
      </c>
      <c r="H182" s="1">
        <v>462.24910431987502</v>
      </c>
    </row>
    <row r="183" spans="1:8" x14ac:dyDescent="0.45">
      <c r="A183" s="1" t="s">
        <v>72</v>
      </c>
      <c r="B183" s="1">
        <v>100</v>
      </c>
      <c r="C183" s="1">
        <v>0.02</v>
      </c>
      <c r="D183" s="1">
        <v>0.06</v>
      </c>
      <c r="E183" s="1">
        <v>7</v>
      </c>
      <c r="F183" s="1">
        <v>1</v>
      </c>
      <c r="G183" s="1">
        <v>301.74304342878497</v>
      </c>
      <c r="H183" s="1">
        <v>664.83217047366804</v>
      </c>
    </row>
    <row r="184" spans="1:8" x14ac:dyDescent="0.45">
      <c r="A184" s="1" t="s">
        <v>73</v>
      </c>
      <c r="B184" s="1">
        <v>100</v>
      </c>
      <c r="C184" s="1">
        <v>0.02</v>
      </c>
      <c r="D184" s="1">
        <v>0.06</v>
      </c>
      <c r="E184" s="1">
        <v>9</v>
      </c>
      <c r="F184" s="1">
        <v>1</v>
      </c>
      <c r="G184" s="1">
        <v>390.97547093841598</v>
      </c>
      <c r="H184" s="1">
        <v>869.49903457497703</v>
      </c>
    </row>
    <row r="186" spans="1:8" x14ac:dyDescent="0.45">
      <c r="A186" s="1" t="s">
        <v>74</v>
      </c>
      <c r="B186" s="1">
        <v>100</v>
      </c>
      <c r="C186" s="1">
        <v>0.04</v>
      </c>
      <c r="D186" s="1">
        <v>0.12</v>
      </c>
      <c r="E186" s="1">
        <v>1</v>
      </c>
      <c r="F186" s="1">
        <v>1</v>
      </c>
      <c r="G186" s="1">
        <v>82.628383705308906</v>
      </c>
      <c r="H186" s="1">
        <v>357.22785771891603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54CC-F40C-4E4A-ACA3-943A01EAFF9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299567-FD7E-48A6-B01E-BCFC126A23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onepage_all_schedules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Johnny Tran</dc:creator>
  <cp:lastModifiedBy>Johnny Tran</cp:lastModifiedBy>
  <dcterms:created xsi:type="dcterms:W3CDTF">2026-06-16T05:43:31Z</dcterms:created>
  <dcterms:modified xsi:type="dcterms:W3CDTF">2026-07-08T20:41:41Z</dcterms:modified>
</cp:coreProperties>
</file>